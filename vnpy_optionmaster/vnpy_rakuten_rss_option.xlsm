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Doc\option-tool\VBA_Export\"/>
    </mc:Choice>
  </mc:AlternateContent>
  <xr:revisionPtr revIDLastSave="0" documentId="13_ncr:1_{06071CD5-1E81-4CBE-BA6D-C4DE7734C384}" xr6:coauthVersionLast="47" xr6:coauthVersionMax="47" xr10:uidLastSave="{00000000-0000-0000-0000-000000000000}"/>
  <bookViews>
    <workbookView xWindow="120345" yWindow="3975" windowWidth="43200" windowHeight="23985" xr2:uid="{00000000-000D-0000-FFFF-FFFF00000000}"/>
  </bookViews>
  <sheets>
    <sheet name="設定_vnpy_rakuten_rss_op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90" i="1" l="1"/>
  <c r="BE190" i="1"/>
  <c r="BD190" i="1"/>
  <c r="BC190" i="1"/>
  <c r="BB190" i="1"/>
  <c r="BA190" i="1"/>
  <c r="AZ190" i="1"/>
  <c r="AY190" i="1"/>
  <c r="AX190" i="1"/>
  <c r="AW190" i="1"/>
  <c r="AV190" i="1"/>
  <c r="AO190" i="1"/>
  <c r="BF185" i="1"/>
  <c r="BE185" i="1"/>
  <c r="BD185" i="1"/>
  <c r="BC185" i="1"/>
  <c r="BB185" i="1"/>
  <c r="BA185" i="1"/>
  <c r="AZ185" i="1"/>
  <c r="AY185" i="1"/>
  <c r="AX185" i="1"/>
  <c r="AW185" i="1"/>
  <c r="AV185" i="1"/>
  <c r="AO185" i="1"/>
  <c r="BF180" i="1"/>
  <c r="BE180" i="1"/>
  <c r="BD180" i="1"/>
  <c r="BC180" i="1"/>
  <c r="BB180" i="1"/>
  <c r="BA180" i="1"/>
  <c r="AZ180" i="1"/>
  <c r="AY180" i="1"/>
  <c r="AX180" i="1"/>
  <c r="AW180" i="1"/>
  <c r="AV180" i="1"/>
  <c r="AO180" i="1"/>
  <c r="BF178" i="1"/>
  <c r="BE178" i="1"/>
  <c r="BD178" i="1"/>
  <c r="BC178" i="1"/>
  <c r="BB178" i="1"/>
  <c r="BA178" i="1"/>
  <c r="AZ178" i="1"/>
  <c r="AY178" i="1"/>
  <c r="AX178" i="1"/>
  <c r="AW178" i="1"/>
  <c r="AV178" i="1"/>
  <c r="AO178" i="1"/>
  <c r="BF176" i="1"/>
  <c r="BE176" i="1"/>
  <c r="BD176" i="1"/>
  <c r="BC176" i="1"/>
  <c r="BB176" i="1"/>
  <c r="BA176" i="1"/>
  <c r="AZ176" i="1"/>
  <c r="AY176" i="1"/>
  <c r="AX176" i="1"/>
  <c r="AW176" i="1"/>
  <c r="AV176" i="1"/>
  <c r="AO176" i="1"/>
  <c r="BF175" i="1"/>
  <c r="BE175" i="1"/>
  <c r="BD175" i="1"/>
  <c r="BC175" i="1"/>
  <c r="BB175" i="1"/>
  <c r="BA175" i="1"/>
  <c r="AZ175" i="1"/>
  <c r="AY175" i="1"/>
  <c r="AX175" i="1"/>
  <c r="AW175" i="1"/>
  <c r="AV175" i="1"/>
  <c r="AO175" i="1"/>
  <c r="BF174" i="1"/>
  <c r="BE174" i="1"/>
  <c r="BD174" i="1"/>
  <c r="BC174" i="1"/>
  <c r="BB174" i="1"/>
  <c r="BA174" i="1"/>
  <c r="AZ174" i="1"/>
  <c r="AY174" i="1"/>
  <c r="AX174" i="1"/>
  <c r="AW174" i="1"/>
  <c r="AV174" i="1"/>
  <c r="AO174" i="1"/>
  <c r="BF172" i="1"/>
  <c r="BE172" i="1"/>
  <c r="BD172" i="1"/>
  <c r="BC172" i="1"/>
  <c r="BB172" i="1"/>
  <c r="BA172" i="1"/>
  <c r="AZ172" i="1"/>
  <c r="AY172" i="1"/>
  <c r="AX172" i="1"/>
  <c r="AW172" i="1"/>
  <c r="AV172" i="1"/>
  <c r="AO172" i="1"/>
  <c r="BF170" i="1"/>
  <c r="BE170" i="1"/>
  <c r="BD170" i="1"/>
  <c r="BC170" i="1"/>
  <c r="BB170" i="1"/>
  <c r="BA170" i="1"/>
  <c r="AZ170" i="1"/>
  <c r="AY170" i="1"/>
  <c r="AX170" i="1"/>
  <c r="AW170" i="1"/>
  <c r="AV170" i="1"/>
  <c r="AO170" i="1"/>
  <c r="BF168" i="1"/>
  <c r="BE168" i="1"/>
  <c r="BD168" i="1"/>
  <c r="BC168" i="1"/>
  <c r="BB168" i="1"/>
  <c r="BA168" i="1"/>
  <c r="AZ168" i="1"/>
  <c r="AY168" i="1"/>
  <c r="AX168" i="1"/>
  <c r="AW168" i="1"/>
  <c r="AV168" i="1"/>
  <c r="AO168" i="1"/>
  <c r="BF166" i="1"/>
  <c r="BE166" i="1"/>
  <c r="BD166" i="1"/>
  <c r="BC166" i="1"/>
  <c r="BB166" i="1"/>
  <c r="BA166" i="1"/>
  <c r="AZ166" i="1"/>
  <c r="AY166" i="1"/>
  <c r="AX166" i="1"/>
  <c r="AW166" i="1"/>
  <c r="AV166" i="1"/>
  <c r="AO166" i="1"/>
  <c r="BF165" i="1"/>
  <c r="BE165" i="1"/>
  <c r="BD165" i="1"/>
  <c r="BC165" i="1"/>
  <c r="BB165" i="1"/>
  <c r="BA165" i="1"/>
  <c r="AZ165" i="1"/>
  <c r="AY165" i="1"/>
  <c r="AX165" i="1"/>
  <c r="AW165" i="1"/>
  <c r="AV165" i="1"/>
  <c r="AO165" i="1"/>
  <c r="BF164" i="1"/>
  <c r="BE164" i="1"/>
  <c r="BD164" i="1"/>
  <c r="BC164" i="1"/>
  <c r="BB164" i="1"/>
  <c r="BA164" i="1"/>
  <c r="AZ164" i="1"/>
  <c r="AY164" i="1"/>
  <c r="AX164" i="1"/>
  <c r="AW164" i="1"/>
  <c r="AV164" i="1"/>
  <c r="AO164" i="1"/>
  <c r="BF162" i="1"/>
  <c r="BE162" i="1"/>
  <c r="BD162" i="1"/>
  <c r="BC162" i="1"/>
  <c r="BB162" i="1"/>
  <c r="BA162" i="1"/>
  <c r="AZ162" i="1"/>
  <c r="AY162" i="1"/>
  <c r="AX162" i="1"/>
  <c r="AW162" i="1"/>
  <c r="AV162" i="1"/>
  <c r="AO162" i="1"/>
  <c r="BF161" i="1"/>
  <c r="BE161" i="1"/>
  <c r="BD161" i="1"/>
  <c r="BC161" i="1"/>
  <c r="BB161" i="1"/>
  <c r="BA161" i="1"/>
  <c r="AZ161" i="1"/>
  <c r="AY161" i="1"/>
  <c r="AX161" i="1"/>
  <c r="AW161" i="1"/>
  <c r="AV161" i="1"/>
  <c r="AO161" i="1"/>
  <c r="BF160" i="1"/>
  <c r="BE160" i="1"/>
  <c r="BD160" i="1"/>
  <c r="BC160" i="1"/>
  <c r="BB160" i="1"/>
  <c r="BA160" i="1"/>
  <c r="AZ160" i="1"/>
  <c r="AY160" i="1"/>
  <c r="AX160" i="1"/>
  <c r="AW160" i="1"/>
  <c r="AV160" i="1"/>
  <c r="AO160" i="1"/>
  <c r="BF159" i="1"/>
  <c r="BE159" i="1"/>
  <c r="BD159" i="1"/>
  <c r="BC159" i="1"/>
  <c r="BB159" i="1"/>
  <c r="BA159" i="1"/>
  <c r="AZ159" i="1"/>
  <c r="AY159" i="1"/>
  <c r="AX159" i="1"/>
  <c r="AW159" i="1"/>
  <c r="AV159" i="1"/>
  <c r="AO159" i="1"/>
  <c r="BF158" i="1"/>
  <c r="BE158" i="1"/>
  <c r="BD158" i="1"/>
  <c r="BC158" i="1"/>
  <c r="BB158" i="1"/>
  <c r="BA158" i="1"/>
  <c r="AZ158" i="1"/>
  <c r="AY158" i="1"/>
  <c r="AX158" i="1"/>
  <c r="AW158" i="1"/>
  <c r="AV158" i="1"/>
  <c r="AO158" i="1"/>
  <c r="BF157" i="1"/>
  <c r="BE157" i="1"/>
  <c r="BD157" i="1"/>
  <c r="BC157" i="1"/>
  <c r="BB157" i="1"/>
  <c r="BA157" i="1"/>
  <c r="AZ157" i="1"/>
  <c r="AY157" i="1"/>
  <c r="AX157" i="1"/>
  <c r="AW157" i="1"/>
  <c r="AV157" i="1"/>
  <c r="AO157" i="1"/>
  <c r="BF156" i="1"/>
  <c r="BE156" i="1"/>
  <c r="BD156" i="1"/>
  <c r="BC156" i="1"/>
  <c r="BB156" i="1"/>
  <c r="BA156" i="1"/>
  <c r="AZ156" i="1"/>
  <c r="AY156" i="1"/>
  <c r="AX156" i="1"/>
  <c r="AW156" i="1"/>
  <c r="AV156" i="1"/>
  <c r="AO156" i="1"/>
  <c r="BF155" i="1"/>
  <c r="BE155" i="1"/>
  <c r="BD155" i="1"/>
  <c r="BC155" i="1"/>
  <c r="BB155" i="1"/>
  <c r="BA155" i="1"/>
  <c r="AZ155" i="1"/>
  <c r="AY155" i="1"/>
  <c r="AX155" i="1"/>
  <c r="AW155" i="1"/>
  <c r="AV155" i="1"/>
  <c r="AO155" i="1"/>
  <c r="BF154" i="1"/>
  <c r="BE154" i="1"/>
  <c r="BD154" i="1"/>
  <c r="BC154" i="1"/>
  <c r="BB154" i="1"/>
  <c r="BA154" i="1"/>
  <c r="AZ154" i="1"/>
  <c r="AY154" i="1"/>
  <c r="AX154" i="1"/>
  <c r="AW154" i="1"/>
  <c r="AV154" i="1"/>
  <c r="AO154" i="1"/>
  <c r="BF153" i="1"/>
  <c r="BE153" i="1"/>
  <c r="BD153" i="1"/>
  <c r="BC153" i="1"/>
  <c r="BB153" i="1"/>
  <c r="BA153" i="1"/>
  <c r="AZ153" i="1"/>
  <c r="AY153" i="1"/>
  <c r="AX153" i="1"/>
  <c r="AW153" i="1"/>
  <c r="AV153" i="1"/>
  <c r="AO153" i="1"/>
  <c r="BZ152" i="1"/>
  <c r="BY152" i="1"/>
  <c r="BX152" i="1"/>
  <c r="BW152" i="1"/>
  <c r="BV152" i="1"/>
  <c r="BU152" i="1"/>
  <c r="BT152" i="1"/>
  <c r="BS152" i="1"/>
  <c r="BR152" i="1"/>
  <c r="BQ152" i="1"/>
  <c r="BP152" i="1"/>
  <c r="BI152" i="1"/>
  <c r="BF152" i="1"/>
  <c r="BE152" i="1"/>
  <c r="BD152" i="1"/>
  <c r="BC152" i="1"/>
  <c r="BB152" i="1"/>
  <c r="BA152" i="1"/>
  <c r="AZ152" i="1"/>
  <c r="AY152" i="1"/>
  <c r="AX152" i="1"/>
  <c r="AW152" i="1"/>
  <c r="AV152" i="1"/>
  <c r="AO152" i="1"/>
  <c r="BZ151" i="1"/>
  <c r="BY151" i="1"/>
  <c r="BX151" i="1"/>
  <c r="BW151" i="1"/>
  <c r="BV151" i="1"/>
  <c r="BU151" i="1"/>
  <c r="BT151" i="1"/>
  <c r="BS151" i="1"/>
  <c r="BR151" i="1"/>
  <c r="BQ151" i="1"/>
  <c r="BP151" i="1"/>
  <c r="BI151" i="1"/>
  <c r="BF151" i="1"/>
  <c r="BE151" i="1"/>
  <c r="BD151" i="1"/>
  <c r="BC151" i="1"/>
  <c r="BB151" i="1"/>
  <c r="BA151" i="1"/>
  <c r="AZ151" i="1"/>
  <c r="AY151" i="1"/>
  <c r="AX151" i="1"/>
  <c r="AW151" i="1"/>
  <c r="AV151" i="1"/>
  <c r="AO151" i="1"/>
  <c r="BZ150" i="1"/>
  <c r="BY150" i="1"/>
  <c r="BX150" i="1"/>
  <c r="BW150" i="1"/>
  <c r="BV150" i="1"/>
  <c r="BU150" i="1"/>
  <c r="BT150" i="1"/>
  <c r="BS150" i="1"/>
  <c r="BR150" i="1"/>
  <c r="BQ150" i="1"/>
  <c r="BP150" i="1"/>
  <c r="BI150" i="1"/>
  <c r="BF150" i="1"/>
  <c r="BE150" i="1"/>
  <c r="BD150" i="1"/>
  <c r="BC150" i="1"/>
  <c r="BB150" i="1"/>
  <c r="BA150" i="1"/>
  <c r="AZ150" i="1"/>
  <c r="AY150" i="1"/>
  <c r="AX150" i="1"/>
  <c r="AW150" i="1"/>
  <c r="AV150" i="1"/>
  <c r="AO150" i="1"/>
  <c r="BZ149" i="1"/>
  <c r="BY149" i="1"/>
  <c r="BX149" i="1"/>
  <c r="BW149" i="1"/>
  <c r="BV149" i="1"/>
  <c r="BU149" i="1"/>
  <c r="BT149" i="1"/>
  <c r="BS149" i="1"/>
  <c r="BR149" i="1"/>
  <c r="BQ149" i="1"/>
  <c r="BP149" i="1"/>
  <c r="BI149" i="1"/>
  <c r="BF149" i="1"/>
  <c r="BE149" i="1"/>
  <c r="BD149" i="1"/>
  <c r="BC149" i="1"/>
  <c r="BB149" i="1"/>
  <c r="BA149" i="1"/>
  <c r="AZ149" i="1"/>
  <c r="AY149" i="1"/>
  <c r="AX149" i="1"/>
  <c r="AW149" i="1"/>
  <c r="AV149" i="1"/>
  <c r="AO149" i="1"/>
  <c r="BZ148" i="1"/>
  <c r="BY148" i="1"/>
  <c r="BX148" i="1"/>
  <c r="BW148" i="1"/>
  <c r="BV148" i="1"/>
  <c r="BU148" i="1"/>
  <c r="BT148" i="1"/>
  <c r="BS148" i="1"/>
  <c r="BR148" i="1"/>
  <c r="BQ148" i="1"/>
  <c r="BP148" i="1"/>
  <c r="BI148" i="1"/>
  <c r="BF148" i="1"/>
  <c r="BE148" i="1"/>
  <c r="BD148" i="1"/>
  <c r="BC148" i="1"/>
  <c r="BB148" i="1"/>
  <c r="BA148" i="1"/>
  <c r="AZ148" i="1"/>
  <c r="AY148" i="1"/>
  <c r="AX148" i="1"/>
  <c r="AW148" i="1"/>
  <c r="AV148" i="1"/>
  <c r="AO148" i="1"/>
  <c r="BZ147" i="1"/>
  <c r="BY147" i="1"/>
  <c r="BX147" i="1"/>
  <c r="BW147" i="1"/>
  <c r="BV147" i="1"/>
  <c r="BU147" i="1"/>
  <c r="BT147" i="1"/>
  <c r="BS147" i="1"/>
  <c r="BR147" i="1"/>
  <c r="BQ147" i="1"/>
  <c r="BP147" i="1"/>
  <c r="BI147" i="1"/>
  <c r="BF147" i="1"/>
  <c r="BE147" i="1"/>
  <c r="BD147" i="1"/>
  <c r="BC147" i="1"/>
  <c r="BB147" i="1"/>
  <c r="BA147" i="1"/>
  <c r="AZ147" i="1"/>
  <c r="AY147" i="1"/>
  <c r="AX147" i="1"/>
  <c r="AW147" i="1"/>
  <c r="AV147" i="1"/>
  <c r="AO147" i="1"/>
  <c r="BZ146" i="1"/>
  <c r="BY146" i="1"/>
  <c r="BX146" i="1"/>
  <c r="BW146" i="1"/>
  <c r="BV146" i="1"/>
  <c r="BU146" i="1"/>
  <c r="BT146" i="1"/>
  <c r="BS146" i="1"/>
  <c r="BR146" i="1"/>
  <c r="BQ146" i="1"/>
  <c r="BP146" i="1"/>
  <c r="BI146" i="1"/>
  <c r="BF146" i="1"/>
  <c r="BE146" i="1"/>
  <c r="BD146" i="1"/>
  <c r="BC146" i="1"/>
  <c r="BB146" i="1"/>
  <c r="BA146" i="1"/>
  <c r="AZ146" i="1"/>
  <c r="AY146" i="1"/>
  <c r="AX146" i="1"/>
  <c r="AW146" i="1"/>
  <c r="AV146" i="1"/>
  <c r="AO146" i="1"/>
  <c r="BZ145" i="1"/>
  <c r="BY145" i="1"/>
  <c r="BX145" i="1"/>
  <c r="BW145" i="1"/>
  <c r="BV145" i="1"/>
  <c r="BU145" i="1"/>
  <c r="BT145" i="1"/>
  <c r="BS145" i="1"/>
  <c r="BR145" i="1"/>
  <c r="BQ145" i="1"/>
  <c r="BP145" i="1"/>
  <c r="BI145" i="1"/>
  <c r="BF145" i="1"/>
  <c r="BE145" i="1"/>
  <c r="BD145" i="1"/>
  <c r="BC145" i="1"/>
  <c r="BB145" i="1"/>
  <c r="BA145" i="1"/>
  <c r="AZ145" i="1"/>
  <c r="AY145" i="1"/>
  <c r="AX145" i="1"/>
  <c r="AW145" i="1"/>
  <c r="AV145" i="1"/>
  <c r="AO145" i="1"/>
  <c r="BZ144" i="1"/>
  <c r="BY144" i="1"/>
  <c r="BX144" i="1"/>
  <c r="BW144" i="1"/>
  <c r="BV144" i="1"/>
  <c r="BU144" i="1"/>
  <c r="BT144" i="1"/>
  <c r="BS144" i="1"/>
  <c r="BR144" i="1"/>
  <c r="BQ144" i="1"/>
  <c r="BP144" i="1"/>
  <c r="BI144" i="1"/>
  <c r="BF144" i="1"/>
  <c r="BE144" i="1"/>
  <c r="BD144" i="1"/>
  <c r="BC144" i="1"/>
  <c r="BB144" i="1"/>
  <c r="BA144" i="1"/>
  <c r="AZ144" i="1"/>
  <c r="AY144" i="1"/>
  <c r="AX144" i="1"/>
  <c r="AW144" i="1"/>
  <c r="AV144" i="1"/>
  <c r="AO144" i="1"/>
  <c r="BZ143" i="1"/>
  <c r="BY143" i="1"/>
  <c r="BX143" i="1"/>
  <c r="BW143" i="1"/>
  <c r="BV143" i="1"/>
  <c r="BU143" i="1"/>
  <c r="BT143" i="1"/>
  <c r="BS143" i="1"/>
  <c r="BR143" i="1"/>
  <c r="BQ143" i="1"/>
  <c r="BP143" i="1"/>
  <c r="BI143" i="1"/>
  <c r="BF143" i="1"/>
  <c r="BE143" i="1"/>
  <c r="BD143" i="1"/>
  <c r="BC143" i="1"/>
  <c r="BB143" i="1"/>
  <c r="BA143" i="1"/>
  <c r="AZ143" i="1"/>
  <c r="AY143" i="1"/>
  <c r="AX143" i="1"/>
  <c r="AW143" i="1"/>
  <c r="AV143" i="1"/>
  <c r="AO143" i="1"/>
  <c r="BZ142" i="1"/>
  <c r="BY142" i="1"/>
  <c r="BX142" i="1"/>
  <c r="BW142" i="1"/>
  <c r="BV142" i="1"/>
  <c r="BU142" i="1"/>
  <c r="BT142" i="1"/>
  <c r="BS142" i="1"/>
  <c r="BR142" i="1"/>
  <c r="BQ142" i="1"/>
  <c r="BP142" i="1"/>
  <c r="BI142" i="1"/>
  <c r="BF142" i="1"/>
  <c r="BE142" i="1"/>
  <c r="BD142" i="1"/>
  <c r="BC142" i="1"/>
  <c r="BB142" i="1"/>
  <c r="BA142" i="1"/>
  <c r="AZ142" i="1"/>
  <c r="AY142" i="1"/>
  <c r="AX142" i="1"/>
  <c r="AW142" i="1"/>
  <c r="AV142" i="1"/>
  <c r="AO142" i="1"/>
  <c r="BZ141" i="1"/>
  <c r="BY141" i="1"/>
  <c r="BX141" i="1"/>
  <c r="BW141" i="1"/>
  <c r="BV141" i="1"/>
  <c r="BU141" i="1"/>
  <c r="BT141" i="1"/>
  <c r="BS141" i="1"/>
  <c r="BR141" i="1"/>
  <c r="BQ141" i="1"/>
  <c r="BP141" i="1"/>
  <c r="BI141" i="1"/>
  <c r="BF141" i="1"/>
  <c r="BE141" i="1"/>
  <c r="BD141" i="1"/>
  <c r="BC141" i="1"/>
  <c r="BB141" i="1"/>
  <c r="BA141" i="1"/>
  <c r="AZ141" i="1"/>
  <c r="AY141" i="1"/>
  <c r="AX141" i="1"/>
  <c r="AW141" i="1"/>
  <c r="AV141" i="1"/>
  <c r="AO141" i="1"/>
  <c r="BZ140" i="1"/>
  <c r="BY140" i="1"/>
  <c r="BX140" i="1"/>
  <c r="BW140" i="1"/>
  <c r="BV140" i="1"/>
  <c r="BU140" i="1"/>
  <c r="BT140" i="1"/>
  <c r="BS140" i="1"/>
  <c r="BR140" i="1"/>
  <c r="BQ140" i="1"/>
  <c r="BP140" i="1"/>
  <c r="BI140" i="1"/>
  <c r="BF140" i="1"/>
  <c r="BE140" i="1"/>
  <c r="BD140" i="1"/>
  <c r="BC140" i="1"/>
  <c r="BB140" i="1"/>
  <c r="BA140" i="1"/>
  <c r="AZ140" i="1"/>
  <c r="AY140" i="1"/>
  <c r="AX140" i="1"/>
  <c r="AW140" i="1"/>
  <c r="AV140" i="1"/>
  <c r="AO140" i="1"/>
  <c r="BZ139" i="1"/>
  <c r="BY139" i="1"/>
  <c r="BX139" i="1"/>
  <c r="BW139" i="1"/>
  <c r="BV139" i="1"/>
  <c r="BU139" i="1"/>
  <c r="BT139" i="1"/>
  <c r="BS139" i="1"/>
  <c r="BR139" i="1"/>
  <c r="BQ139" i="1"/>
  <c r="BP139" i="1"/>
  <c r="BI139" i="1"/>
  <c r="BZ138" i="1"/>
  <c r="BY138" i="1"/>
  <c r="BX138" i="1"/>
  <c r="BW138" i="1"/>
  <c r="BV138" i="1"/>
  <c r="BU138" i="1"/>
  <c r="BT138" i="1"/>
  <c r="BS138" i="1"/>
  <c r="BR138" i="1"/>
  <c r="BQ138" i="1"/>
  <c r="BP138" i="1"/>
  <c r="BI138" i="1"/>
  <c r="BZ137" i="1"/>
  <c r="BY137" i="1"/>
  <c r="BX137" i="1"/>
  <c r="BW137" i="1"/>
  <c r="BV137" i="1"/>
  <c r="BU137" i="1"/>
  <c r="BT137" i="1"/>
  <c r="BS137" i="1"/>
  <c r="BR137" i="1"/>
  <c r="BQ137" i="1"/>
  <c r="BP137" i="1"/>
  <c r="BI137" i="1"/>
  <c r="BZ136" i="1"/>
  <c r="BY136" i="1"/>
  <c r="BX136" i="1"/>
  <c r="BW136" i="1"/>
  <c r="BV136" i="1"/>
  <c r="BU136" i="1"/>
  <c r="BT136" i="1"/>
  <c r="BS136" i="1"/>
  <c r="BR136" i="1"/>
  <c r="BQ136" i="1"/>
  <c r="BP136" i="1"/>
  <c r="BI136" i="1"/>
  <c r="BZ135" i="1"/>
  <c r="BY135" i="1"/>
  <c r="BX135" i="1"/>
  <c r="BW135" i="1"/>
  <c r="BV135" i="1"/>
  <c r="BU135" i="1"/>
  <c r="BT135" i="1"/>
  <c r="BS135" i="1"/>
  <c r="BR135" i="1"/>
  <c r="BQ135" i="1"/>
  <c r="BP135" i="1"/>
  <c r="BI135" i="1"/>
  <c r="BZ134" i="1"/>
  <c r="BY134" i="1"/>
  <c r="BX134" i="1"/>
  <c r="BW134" i="1"/>
  <c r="BV134" i="1"/>
  <c r="BU134" i="1"/>
  <c r="BT134" i="1"/>
  <c r="BS134" i="1"/>
  <c r="BR134" i="1"/>
  <c r="BQ134" i="1"/>
  <c r="BP134" i="1"/>
  <c r="BI134" i="1"/>
  <c r="BZ133" i="1"/>
  <c r="BY133" i="1"/>
  <c r="BX133" i="1"/>
  <c r="BW133" i="1"/>
  <c r="BV133" i="1"/>
  <c r="BU133" i="1"/>
  <c r="BT133" i="1"/>
  <c r="BS133" i="1"/>
  <c r="BR133" i="1"/>
  <c r="BQ133" i="1"/>
  <c r="BP133" i="1"/>
  <c r="BI133" i="1"/>
  <c r="BZ132" i="1"/>
  <c r="BY132" i="1"/>
  <c r="BX132" i="1"/>
  <c r="BW132" i="1"/>
  <c r="BV132" i="1"/>
  <c r="BU132" i="1"/>
  <c r="BT132" i="1"/>
  <c r="BS132" i="1"/>
  <c r="BR132" i="1"/>
  <c r="BQ132" i="1"/>
  <c r="BP132" i="1"/>
  <c r="BI132" i="1"/>
  <c r="BZ131" i="1"/>
  <c r="BY131" i="1"/>
  <c r="BX131" i="1"/>
  <c r="BW131" i="1"/>
  <c r="BV131" i="1"/>
  <c r="BU131" i="1"/>
  <c r="BT131" i="1"/>
  <c r="BS131" i="1"/>
  <c r="BR131" i="1"/>
  <c r="BQ131" i="1"/>
  <c r="BP131" i="1"/>
  <c r="BI131" i="1"/>
  <c r="BZ130" i="1"/>
  <c r="BY130" i="1"/>
  <c r="BX130" i="1"/>
  <c r="BW130" i="1"/>
  <c r="BV130" i="1"/>
  <c r="BU130" i="1"/>
  <c r="BT130" i="1"/>
  <c r="BS130" i="1"/>
  <c r="BR130" i="1"/>
  <c r="BQ130" i="1"/>
  <c r="BP130" i="1"/>
  <c r="BI130" i="1"/>
  <c r="BZ129" i="1"/>
  <c r="BY129" i="1"/>
  <c r="BX129" i="1"/>
  <c r="BW129" i="1"/>
  <c r="BV129" i="1"/>
  <c r="BU129" i="1"/>
  <c r="BT129" i="1"/>
  <c r="BS129" i="1"/>
  <c r="BR129" i="1"/>
  <c r="BQ129" i="1"/>
  <c r="BP129" i="1"/>
  <c r="BI129" i="1"/>
  <c r="BZ128" i="1"/>
  <c r="BY128" i="1"/>
  <c r="BX128" i="1"/>
  <c r="BW128" i="1"/>
  <c r="BV128" i="1"/>
  <c r="BU128" i="1"/>
  <c r="BT128" i="1"/>
  <c r="BS128" i="1"/>
  <c r="BR128" i="1"/>
  <c r="BQ128" i="1"/>
  <c r="BP128" i="1"/>
  <c r="BI128" i="1"/>
  <c r="BZ127" i="1"/>
  <c r="BY127" i="1"/>
  <c r="BX127" i="1"/>
  <c r="BW127" i="1"/>
  <c r="BV127" i="1"/>
  <c r="BU127" i="1"/>
  <c r="BT127" i="1"/>
  <c r="BS127" i="1"/>
  <c r="BR127" i="1"/>
  <c r="BQ127" i="1"/>
  <c r="BP127" i="1"/>
  <c r="BI127" i="1"/>
  <c r="BZ126" i="1"/>
  <c r="BY126" i="1"/>
  <c r="BX126" i="1"/>
  <c r="BW126" i="1"/>
  <c r="BV126" i="1"/>
  <c r="BU126" i="1"/>
  <c r="BT126" i="1"/>
  <c r="BS126" i="1"/>
  <c r="BR126" i="1"/>
  <c r="BQ126" i="1"/>
  <c r="BP126" i="1"/>
  <c r="BI126" i="1"/>
  <c r="BZ125" i="1"/>
  <c r="BY125" i="1"/>
  <c r="BX125" i="1"/>
  <c r="BW125" i="1"/>
  <c r="BV125" i="1"/>
  <c r="BU125" i="1"/>
  <c r="BT125" i="1"/>
  <c r="BS125" i="1"/>
  <c r="BR125" i="1"/>
  <c r="BQ125" i="1"/>
  <c r="BP125" i="1"/>
  <c r="BI125" i="1"/>
  <c r="BZ124" i="1"/>
  <c r="BY124" i="1"/>
  <c r="BX124" i="1"/>
  <c r="BW124" i="1"/>
  <c r="BV124" i="1"/>
  <c r="BU124" i="1"/>
  <c r="BT124" i="1"/>
  <c r="BS124" i="1"/>
  <c r="BR124" i="1"/>
  <c r="BQ124" i="1"/>
  <c r="BP124" i="1"/>
  <c r="BI124" i="1"/>
  <c r="BZ123" i="1"/>
  <c r="BY123" i="1"/>
  <c r="BX123" i="1"/>
  <c r="BW123" i="1"/>
  <c r="BV123" i="1"/>
  <c r="BU123" i="1"/>
  <c r="BT123" i="1"/>
  <c r="BS123" i="1"/>
  <c r="BR123" i="1"/>
  <c r="BQ123" i="1"/>
  <c r="BP123" i="1"/>
  <c r="BI123" i="1"/>
  <c r="BZ122" i="1"/>
  <c r="BY122" i="1"/>
  <c r="BX122" i="1"/>
  <c r="BW122" i="1"/>
  <c r="BV122" i="1"/>
  <c r="BU122" i="1"/>
  <c r="BT122" i="1"/>
  <c r="BS122" i="1"/>
  <c r="BR122" i="1"/>
  <c r="BQ122" i="1"/>
  <c r="BP122" i="1"/>
  <c r="BI122" i="1"/>
  <c r="BZ121" i="1"/>
  <c r="BY121" i="1"/>
  <c r="BX121" i="1"/>
  <c r="BW121" i="1"/>
  <c r="BV121" i="1"/>
  <c r="BU121" i="1"/>
  <c r="BT121" i="1"/>
  <c r="BS121" i="1"/>
  <c r="BR121" i="1"/>
  <c r="BQ121" i="1"/>
  <c r="BP121" i="1"/>
  <c r="BI121" i="1"/>
  <c r="BZ120" i="1"/>
  <c r="BY120" i="1"/>
  <c r="BX120" i="1"/>
  <c r="BW120" i="1"/>
  <c r="BV120" i="1"/>
  <c r="BU120" i="1"/>
  <c r="BT120" i="1"/>
  <c r="BS120" i="1"/>
  <c r="BR120" i="1"/>
  <c r="BQ120" i="1"/>
  <c r="BP120" i="1"/>
  <c r="BI120" i="1"/>
  <c r="BZ119" i="1"/>
  <c r="BY119" i="1"/>
  <c r="BX119" i="1"/>
  <c r="BW119" i="1"/>
  <c r="BV119" i="1"/>
  <c r="BU119" i="1"/>
  <c r="BT119" i="1"/>
  <c r="BS119" i="1"/>
  <c r="BR119" i="1"/>
  <c r="BQ119" i="1"/>
  <c r="BP119" i="1"/>
  <c r="BI119" i="1"/>
  <c r="BZ118" i="1"/>
  <c r="BY118" i="1"/>
  <c r="BX118" i="1"/>
  <c r="BW118" i="1"/>
  <c r="BV118" i="1"/>
  <c r="BU118" i="1"/>
  <c r="BT118" i="1"/>
  <c r="BS118" i="1"/>
  <c r="BR118" i="1"/>
  <c r="BQ118" i="1"/>
  <c r="BP118" i="1"/>
  <c r="BI118" i="1"/>
  <c r="BZ117" i="1"/>
  <c r="BY117" i="1"/>
  <c r="BX117" i="1"/>
  <c r="BW117" i="1"/>
  <c r="BV117" i="1"/>
  <c r="BU117" i="1"/>
  <c r="BT117" i="1"/>
  <c r="BS117" i="1"/>
  <c r="BR117" i="1"/>
  <c r="BQ117" i="1"/>
  <c r="BP117" i="1"/>
  <c r="BI117" i="1"/>
  <c r="BZ116" i="1"/>
  <c r="BY116" i="1"/>
  <c r="BX116" i="1"/>
  <c r="BW116" i="1"/>
  <c r="BV116" i="1"/>
  <c r="BU116" i="1"/>
  <c r="BT116" i="1"/>
  <c r="BS116" i="1"/>
  <c r="BR116" i="1"/>
  <c r="BQ116" i="1"/>
  <c r="BP116" i="1"/>
  <c r="BI116" i="1"/>
  <c r="BZ115" i="1"/>
  <c r="BY115" i="1"/>
  <c r="BX115" i="1"/>
  <c r="BW115" i="1"/>
  <c r="BV115" i="1"/>
  <c r="BU115" i="1"/>
  <c r="BT115" i="1"/>
  <c r="BS115" i="1"/>
  <c r="BR115" i="1"/>
  <c r="BQ115" i="1"/>
  <c r="BP115" i="1"/>
  <c r="BI115" i="1"/>
  <c r="BZ114" i="1"/>
  <c r="BY114" i="1"/>
  <c r="BX114" i="1"/>
  <c r="BW114" i="1"/>
  <c r="BV114" i="1"/>
  <c r="BU114" i="1"/>
  <c r="BT114" i="1"/>
  <c r="BS114" i="1"/>
  <c r="BR114" i="1"/>
  <c r="BQ114" i="1"/>
  <c r="BP114" i="1"/>
  <c r="BI114" i="1"/>
  <c r="BZ113" i="1"/>
  <c r="BY113" i="1"/>
  <c r="BX113" i="1"/>
  <c r="BW113" i="1"/>
  <c r="BV113" i="1"/>
  <c r="BU113" i="1"/>
  <c r="BT113" i="1"/>
  <c r="BS113" i="1"/>
  <c r="BR113" i="1"/>
  <c r="BQ113" i="1"/>
  <c r="BP113" i="1"/>
  <c r="BI113" i="1"/>
  <c r="BZ112" i="1"/>
  <c r="BY112" i="1"/>
  <c r="BX112" i="1"/>
  <c r="BW112" i="1"/>
  <c r="BV112" i="1"/>
  <c r="BU112" i="1"/>
  <c r="BT112" i="1"/>
  <c r="BS112" i="1"/>
  <c r="BR112" i="1"/>
  <c r="BQ112" i="1"/>
  <c r="BP112" i="1"/>
  <c r="BI112" i="1"/>
  <c r="BZ111" i="1"/>
  <c r="BY111" i="1"/>
  <c r="BX111" i="1"/>
  <c r="BW111" i="1"/>
  <c r="BV111" i="1"/>
  <c r="BU111" i="1"/>
  <c r="BT111" i="1"/>
  <c r="BS111" i="1"/>
  <c r="BR111" i="1"/>
  <c r="BQ111" i="1"/>
  <c r="BP111" i="1"/>
  <c r="BI111" i="1"/>
  <c r="BZ110" i="1"/>
  <c r="BY110" i="1"/>
  <c r="BX110" i="1"/>
  <c r="BW110" i="1"/>
  <c r="BV110" i="1"/>
  <c r="BU110" i="1"/>
  <c r="BT110" i="1"/>
  <c r="BS110" i="1"/>
  <c r="BR110" i="1"/>
  <c r="BQ110" i="1"/>
  <c r="BP110" i="1"/>
  <c r="BI110" i="1"/>
  <c r="BZ109" i="1"/>
  <c r="BY109" i="1"/>
  <c r="BX109" i="1"/>
  <c r="BW109" i="1"/>
  <c r="BV109" i="1"/>
  <c r="BU109" i="1"/>
  <c r="BT109" i="1"/>
  <c r="BS109" i="1"/>
  <c r="BR109" i="1"/>
  <c r="BQ109" i="1"/>
  <c r="BP109" i="1"/>
  <c r="BI109" i="1"/>
  <c r="BZ108" i="1"/>
  <c r="BY108" i="1"/>
  <c r="BX108" i="1"/>
  <c r="BW108" i="1"/>
  <c r="BV108" i="1"/>
  <c r="BU108" i="1"/>
  <c r="BT108" i="1"/>
  <c r="BS108" i="1"/>
  <c r="BR108" i="1"/>
  <c r="BQ108" i="1"/>
  <c r="BP108" i="1"/>
  <c r="BI108" i="1"/>
  <c r="BZ107" i="1"/>
  <c r="BY107" i="1"/>
  <c r="BX107" i="1"/>
  <c r="BW107" i="1"/>
  <c r="BV107" i="1"/>
  <c r="BU107" i="1"/>
  <c r="BT107" i="1"/>
  <c r="BS107" i="1"/>
  <c r="BR107" i="1"/>
  <c r="BQ107" i="1"/>
  <c r="BP107" i="1"/>
  <c r="BI107" i="1"/>
  <c r="BZ106" i="1"/>
  <c r="BY106" i="1"/>
  <c r="BX106" i="1"/>
  <c r="BW106" i="1"/>
  <c r="BV106" i="1"/>
  <c r="BU106" i="1"/>
  <c r="BT106" i="1"/>
  <c r="BS106" i="1"/>
  <c r="BR106" i="1"/>
  <c r="BQ106" i="1"/>
  <c r="BP106" i="1"/>
  <c r="BI106" i="1"/>
  <c r="BZ105" i="1"/>
  <c r="BY105" i="1"/>
  <c r="BX105" i="1"/>
  <c r="BW105" i="1"/>
  <c r="BV105" i="1"/>
  <c r="BU105" i="1"/>
  <c r="BT105" i="1"/>
  <c r="BS105" i="1"/>
  <c r="BR105" i="1"/>
  <c r="BQ105" i="1"/>
  <c r="BP105" i="1"/>
  <c r="BI105" i="1"/>
  <c r="BZ104" i="1"/>
  <c r="BY104" i="1"/>
  <c r="BX104" i="1"/>
  <c r="BW104" i="1"/>
  <c r="BV104" i="1"/>
  <c r="BU104" i="1"/>
  <c r="BT104" i="1"/>
  <c r="BS104" i="1"/>
  <c r="BR104" i="1"/>
  <c r="BQ104" i="1"/>
  <c r="BP104" i="1"/>
  <c r="BI104" i="1"/>
  <c r="BZ103" i="1"/>
  <c r="BY103" i="1"/>
  <c r="BX103" i="1"/>
  <c r="BW103" i="1"/>
  <c r="BV103" i="1"/>
  <c r="BU103" i="1"/>
  <c r="BT103" i="1"/>
  <c r="BS103" i="1"/>
  <c r="BR103" i="1"/>
  <c r="BQ103" i="1"/>
  <c r="BP103" i="1"/>
  <c r="BI103" i="1"/>
  <c r="BZ102" i="1"/>
  <c r="BY102" i="1"/>
  <c r="BX102" i="1"/>
  <c r="BW102" i="1"/>
  <c r="BV102" i="1"/>
  <c r="BU102" i="1"/>
  <c r="BT102" i="1"/>
  <c r="BS102" i="1"/>
  <c r="BR102" i="1"/>
  <c r="BQ102" i="1"/>
  <c r="BP102" i="1"/>
  <c r="BI102" i="1"/>
  <c r="BF100" i="1"/>
  <c r="BE100" i="1"/>
  <c r="BD100" i="1"/>
  <c r="BC100" i="1"/>
  <c r="BB100" i="1"/>
  <c r="BA100" i="1"/>
  <c r="AZ100" i="1"/>
  <c r="AY100" i="1"/>
  <c r="AX100" i="1"/>
  <c r="AW100" i="1"/>
  <c r="AV100" i="1"/>
  <c r="AO100" i="1"/>
  <c r="BF95" i="1"/>
  <c r="BE95" i="1"/>
  <c r="BD95" i="1"/>
  <c r="BC95" i="1"/>
  <c r="BB95" i="1"/>
  <c r="BA95" i="1"/>
  <c r="AZ95" i="1"/>
  <c r="AY95" i="1"/>
  <c r="AX95" i="1"/>
  <c r="AW95" i="1"/>
  <c r="AV95" i="1"/>
  <c r="AO95" i="1"/>
  <c r="BF90" i="1"/>
  <c r="BE90" i="1"/>
  <c r="BD90" i="1"/>
  <c r="BC90" i="1"/>
  <c r="BB90" i="1"/>
  <c r="BA90" i="1"/>
  <c r="AZ90" i="1"/>
  <c r="AY90" i="1"/>
  <c r="AX90" i="1"/>
  <c r="AW90" i="1"/>
  <c r="AV90" i="1"/>
  <c r="AO90" i="1"/>
  <c r="BF85" i="1"/>
  <c r="BE85" i="1"/>
  <c r="BD85" i="1"/>
  <c r="BC85" i="1"/>
  <c r="BB85" i="1"/>
  <c r="BA85" i="1"/>
  <c r="AZ85" i="1"/>
  <c r="AY85" i="1"/>
  <c r="AX85" i="1"/>
  <c r="AW85" i="1"/>
  <c r="AV85" i="1"/>
  <c r="AO85" i="1"/>
  <c r="BF80" i="1"/>
  <c r="BE80" i="1"/>
  <c r="BD80" i="1"/>
  <c r="BC80" i="1"/>
  <c r="BB80" i="1"/>
  <c r="BA80" i="1"/>
  <c r="AZ80" i="1"/>
  <c r="AY80" i="1"/>
  <c r="AX80" i="1"/>
  <c r="AW80" i="1"/>
  <c r="AV80" i="1"/>
  <c r="AO80" i="1"/>
  <c r="BF79" i="1"/>
  <c r="BE79" i="1"/>
  <c r="BD79" i="1"/>
  <c r="BC79" i="1"/>
  <c r="BB79" i="1"/>
  <c r="BA79" i="1"/>
  <c r="AZ79" i="1"/>
  <c r="AY79" i="1"/>
  <c r="AX79" i="1"/>
  <c r="AW79" i="1"/>
  <c r="AV79" i="1"/>
  <c r="AO79" i="1"/>
  <c r="BF78" i="1"/>
  <c r="BE78" i="1"/>
  <c r="BD78" i="1"/>
  <c r="BC78" i="1"/>
  <c r="BB78" i="1"/>
  <c r="BA78" i="1"/>
  <c r="AZ78" i="1"/>
  <c r="AY78" i="1"/>
  <c r="AX78" i="1"/>
  <c r="AW78" i="1"/>
  <c r="AV78" i="1"/>
  <c r="AO78" i="1"/>
  <c r="BF77" i="1"/>
  <c r="BE77" i="1"/>
  <c r="BD77" i="1"/>
  <c r="BC77" i="1"/>
  <c r="BB77" i="1"/>
  <c r="BA77" i="1"/>
  <c r="AZ77" i="1"/>
  <c r="AY77" i="1"/>
  <c r="AX77" i="1"/>
  <c r="AW77" i="1"/>
  <c r="AV77" i="1"/>
  <c r="AO77" i="1"/>
  <c r="BF76" i="1"/>
  <c r="BE76" i="1"/>
  <c r="BD76" i="1"/>
  <c r="BC76" i="1"/>
  <c r="BB76" i="1"/>
  <c r="BA76" i="1"/>
  <c r="AZ76" i="1"/>
  <c r="AY76" i="1"/>
  <c r="AX76" i="1"/>
  <c r="AW76" i="1"/>
  <c r="AV76" i="1"/>
  <c r="AO76" i="1"/>
  <c r="BF75" i="1"/>
  <c r="BE75" i="1"/>
  <c r="BD75" i="1"/>
  <c r="BC75" i="1"/>
  <c r="BB75" i="1"/>
  <c r="BA75" i="1"/>
  <c r="AZ75" i="1"/>
  <c r="AY75" i="1"/>
  <c r="AX75" i="1"/>
  <c r="AW75" i="1"/>
  <c r="AV75" i="1"/>
  <c r="AO75" i="1"/>
  <c r="BF74" i="1"/>
  <c r="BE74" i="1"/>
  <c r="BD74" i="1"/>
  <c r="BC74" i="1"/>
  <c r="BB74" i="1"/>
  <c r="BA74" i="1"/>
  <c r="AZ74" i="1"/>
  <c r="AY74" i="1"/>
  <c r="AX74" i="1"/>
  <c r="AW74" i="1"/>
  <c r="AV74" i="1"/>
  <c r="AO74" i="1"/>
  <c r="BF73" i="1"/>
  <c r="BE73" i="1"/>
  <c r="BD73" i="1"/>
  <c r="BC73" i="1"/>
  <c r="BB73" i="1"/>
  <c r="BA73" i="1"/>
  <c r="AZ73" i="1"/>
  <c r="AY73" i="1"/>
  <c r="AX73" i="1"/>
  <c r="AW73" i="1"/>
  <c r="AV73" i="1"/>
  <c r="AO73" i="1"/>
  <c r="BF72" i="1"/>
  <c r="BE72" i="1"/>
  <c r="BD72" i="1"/>
  <c r="BC72" i="1"/>
  <c r="BB72" i="1"/>
  <c r="BA72" i="1"/>
  <c r="AZ72" i="1"/>
  <c r="AY72" i="1"/>
  <c r="AX72" i="1"/>
  <c r="AW72" i="1"/>
  <c r="AV72" i="1"/>
  <c r="AO72" i="1"/>
  <c r="BF71" i="1"/>
  <c r="BE71" i="1"/>
  <c r="BD71" i="1"/>
  <c r="BC71" i="1"/>
  <c r="BB71" i="1"/>
  <c r="BA71" i="1"/>
  <c r="AZ71" i="1"/>
  <c r="AY71" i="1"/>
  <c r="AX71" i="1"/>
  <c r="AW71" i="1"/>
  <c r="AV71" i="1"/>
  <c r="AO71" i="1"/>
  <c r="BF70" i="1"/>
  <c r="BE70" i="1"/>
  <c r="BD70" i="1"/>
  <c r="BC70" i="1"/>
  <c r="BB70" i="1"/>
  <c r="BA70" i="1"/>
  <c r="AZ70" i="1"/>
  <c r="AY70" i="1"/>
  <c r="AX70" i="1"/>
  <c r="AW70" i="1"/>
  <c r="AV70" i="1"/>
  <c r="AO70" i="1"/>
  <c r="BF69" i="1"/>
  <c r="BE69" i="1"/>
  <c r="BD69" i="1"/>
  <c r="BC69" i="1"/>
  <c r="BB69" i="1"/>
  <c r="BA69" i="1"/>
  <c r="AZ69" i="1"/>
  <c r="AY69" i="1"/>
  <c r="AX69" i="1"/>
  <c r="AW69" i="1"/>
  <c r="AV69" i="1"/>
  <c r="AO69" i="1"/>
  <c r="BF68" i="1"/>
  <c r="BE68" i="1"/>
  <c r="BD68" i="1"/>
  <c r="BC68" i="1"/>
  <c r="BB68" i="1"/>
  <c r="BA68" i="1"/>
  <c r="AZ68" i="1"/>
  <c r="AY68" i="1"/>
  <c r="AX68" i="1"/>
  <c r="AW68" i="1"/>
  <c r="AV68" i="1"/>
  <c r="AO68" i="1"/>
  <c r="BF67" i="1"/>
  <c r="BE67" i="1"/>
  <c r="BD67" i="1"/>
  <c r="BC67" i="1"/>
  <c r="BB67" i="1"/>
  <c r="BA67" i="1"/>
  <c r="AZ67" i="1"/>
  <c r="AY67" i="1"/>
  <c r="AX67" i="1"/>
  <c r="AW67" i="1"/>
  <c r="AV67" i="1"/>
  <c r="AO67" i="1"/>
  <c r="BF66" i="1"/>
  <c r="BE66" i="1"/>
  <c r="BD66" i="1"/>
  <c r="BC66" i="1"/>
  <c r="BB66" i="1"/>
  <c r="BA66" i="1"/>
  <c r="AZ66" i="1"/>
  <c r="AY66" i="1"/>
  <c r="AX66" i="1"/>
  <c r="AW66" i="1"/>
  <c r="AV66" i="1"/>
  <c r="AO66" i="1"/>
  <c r="BF65" i="1"/>
  <c r="BE65" i="1"/>
  <c r="BD65" i="1"/>
  <c r="BC65" i="1"/>
  <c r="BB65" i="1"/>
  <c r="BA65" i="1"/>
  <c r="AZ65" i="1"/>
  <c r="AY65" i="1"/>
  <c r="AX65" i="1"/>
  <c r="AW65" i="1"/>
  <c r="AV65" i="1"/>
  <c r="AO65" i="1"/>
  <c r="BF64" i="1"/>
  <c r="BE64" i="1"/>
  <c r="BD64" i="1"/>
  <c r="BC64" i="1"/>
  <c r="BB64" i="1"/>
  <c r="BA64" i="1"/>
  <c r="AZ64" i="1"/>
  <c r="AY64" i="1"/>
  <c r="AX64" i="1"/>
  <c r="AW64" i="1"/>
  <c r="AV64" i="1"/>
  <c r="AO64" i="1"/>
  <c r="BF63" i="1"/>
  <c r="BE63" i="1"/>
  <c r="BD63" i="1"/>
  <c r="BC63" i="1"/>
  <c r="BB63" i="1"/>
  <c r="BA63" i="1"/>
  <c r="AZ63" i="1"/>
  <c r="AY63" i="1"/>
  <c r="AX63" i="1"/>
  <c r="AW63" i="1"/>
  <c r="AV63" i="1"/>
  <c r="AO63" i="1"/>
  <c r="BZ62" i="1"/>
  <c r="BY62" i="1"/>
  <c r="BX62" i="1"/>
  <c r="BW62" i="1"/>
  <c r="BV62" i="1"/>
  <c r="BU62" i="1"/>
  <c r="BT62" i="1"/>
  <c r="BS62" i="1"/>
  <c r="BR62" i="1"/>
  <c r="BQ62" i="1"/>
  <c r="BP62" i="1"/>
  <c r="BI62" i="1"/>
  <c r="BF62" i="1"/>
  <c r="BE62" i="1"/>
  <c r="BD62" i="1"/>
  <c r="BC62" i="1"/>
  <c r="BB62" i="1"/>
  <c r="BA62" i="1"/>
  <c r="AZ62" i="1"/>
  <c r="AY62" i="1"/>
  <c r="AX62" i="1"/>
  <c r="AW62" i="1"/>
  <c r="AV62" i="1"/>
  <c r="AO62" i="1"/>
  <c r="BZ61" i="1"/>
  <c r="BY61" i="1"/>
  <c r="BX61" i="1"/>
  <c r="BW61" i="1"/>
  <c r="BV61" i="1"/>
  <c r="BU61" i="1"/>
  <c r="BT61" i="1"/>
  <c r="BS61" i="1"/>
  <c r="BR61" i="1"/>
  <c r="BQ61" i="1"/>
  <c r="BP61" i="1"/>
  <c r="BI61" i="1"/>
  <c r="BF61" i="1"/>
  <c r="BE61" i="1"/>
  <c r="BD61" i="1"/>
  <c r="BC61" i="1"/>
  <c r="BB61" i="1"/>
  <c r="BA61" i="1"/>
  <c r="AZ61" i="1"/>
  <c r="AY61" i="1"/>
  <c r="AX61" i="1"/>
  <c r="AW61" i="1"/>
  <c r="AV61" i="1"/>
  <c r="AO61" i="1"/>
  <c r="BZ60" i="1"/>
  <c r="BY60" i="1"/>
  <c r="BX60" i="1"/>
  <c r="BW60" i="1"/>
  <c r="BV60" i="1"/>
  <c r="BU60" i="1"/>
  <c r="BT60" i="1"/>
  <c r="BS60" i="1"/>
  <c r="BR60" i="1"/>
  <c r="BQ60" i="1"/>
  <c r="BP60" i="1"/>
  <c r="BI60" i="1"/>
  <c r="BF60" i="1"/>
  <c r="BE60" i="1"/>
  <c r="BD60" i="1"/>
  <c r="BC60" i="1"/>
  <c r="BB60" i="1"/>
  <c r="BA60" i="1"/>
  <c r="AZ60" i="1"/>
  <c r="AY60" i="1"/>
  <c r="AX60" i="1"/>
  <c r="AW60" i="1"/>
  <c r="AV60" i="1"/>
  <c r="AO60" i="1"/>
  <c r="BZ59" i="1"/>
  <c r="BY59" i="1"/>
  <c r="BX59" i="1"/>
  <c r="BW59" i="1"/>
  <c r="BV59" i="1"/>
  <c r="BU59" i="1"/>
  <c r="BT59" i="1"/>
  <c r="BS59" i="1"/>
  <c r="BR59" i="1"/>
  <c r="BQ59" i="1"/>
  <c r="BP59" i="1"/>
  <c r="BI59" i="1"/>
  <c r="BF59" i="1"/>
  <c r="BE59" i="1"/>
  <c r="BD59" i="1"/>
  <c r="BC59" i="1"/>
  <c r="BB59" i="1"/>
  <c r="BA59" i="1"/>
  <c r="AZ59" i="1"/>
  <c r="AY59" i="1"/>
  <c r="AX59" i="1"/>
  <c r="AW59" i="1"/>
  <c r="AV59" i="1"/>
  <c r="AO59" i="1"/>
  <c r="BZ58" i="1"/>
  <c r="BY58" i="1"/>
  <c r="BX58" i="1"/>
  <c r="BW58" i="1"/>
  <c r="BV58" i="1"/>
  <c r="BU58" i="1"/>
  <c r="BT58" i="1"/>
  <c r="BS58" i="1"/>
  <c r="BR58" i="1"/>
  <c r="BQ58" i="1"/>
  <c r="BP58" i="1"/>
  <c r="BI58" i="1"/>
  <c r="BF58" i="1"/>
  <c r="BE58" i="1"/>
  <c r="BD58" i="1"/>
  <c r="BC58" i="1"/>
  <c r="BB58" i="1"/>
  <c r="BA58" i="1"/>
  <c r="AZ58" i="1"/>
  <c r="AY58" i="1"/>
  <c r="AX58" i="1"/>
  <c r="AW58" i="1"/>
  <c r="AV58" i="1"/>
  <c r="AO58" i="1"/>
  <c r="BZ57" i="1"/>
  <c r="BY57" i="1"/>
  <c r="BX57" i="1"/>
  <c r="BW57" i="1"/>
  <c r="BV57" i="1"/>
  <c r="BU57" i="1"/>
  <c r="BT57" i="1"/>
  <c r="BS57" i="1"/>
  <c r="BR57" i="1"/>
  <c r="BQ57" i="1"/>
  <c r="BP57" i="1"/>
  <c r="BI57" i="1"/>
  <c r="BF57" i="1"/>
  <c r="BE57" i="1"/>
  <c r="BD57" i="1"/>
  <c r="BC57" i="1"/>
  <c r="BB57" i="1"/>
  <c r="BA57" i="1"/>
  <c r="AZ57" i="1"/>
  <c r="AY57" i="1"/>
  <c r="AX57" i="1"/>
  <c r="AW57" i="1"/>
  <c r="AV57" i="1"/>
  <c r="AO57" i="1"/>
  <c r="BZ56" i="1"/>
  <c r="BY56" i="1"/>
  <c r="BX56" i="1"/>
  <c r="BW56" i="1"/>
  <c r="BV56" i="1"/>
  <c r="BU56" i="1"/>
  <c r="BT56" i="1"/>
  <c r="BS56" i="1"/>
  <c r="BR56" i="1"/>
  <c r="BQ56" i="1"/>
  <c r="BP56" i="1"/>
  <c r="BI56" i="1"/>
  <c r="BF56" i="1"/>
  <c r="BE56" i="1"/>
  <c r="BD56" i="1"/>
  <c r="BC56" i="1"/>
  <c r="BB56" i="1"/>
  <c r="BA56" i="1"/>
  <c r="AZ56" i="1"/>
  <c r="AY56" i="1"/>
  <c r="AX56" i="1"/>
  <c r="AW56" i="1"/>
  <c r="AV56" i="1"/>
  <c r="AO56" i="1"/>
  <c r="BZ55" i="1"/>
  <c r="BY55" i="1"/>
  <c r="BX55" i="1"/>
  <c r="BW55" i="1"/>
  <c r="BV55" i="1"/>
  <c r="BU55" i="1"/>
  <c r="BT55" i="1"/>
  <c r="BS55" i="1"/>
  <c r="BR55" i="1"/>
  <c r="BQ55" i="1"/>
  <c r="BP55" i="1"/>
  <c r="BI55" i="1"/>
  <c r="BF55" i="1"/>
  <c r="BE55" i="1"/>
  <c r="BD55" i="1"/>
  <c r="BC55" i="1"/>
  <c r="BB55" i="1"/>
  <c r="BA55" i="1"/>
  <c r="AZ55" i="1"/>
  <c r="AY55" i="1"/>
  <c r="AX55" i="1"/>
  <c r="AW55" i="1"/>
  <c r="AV55" i="1"/>
  <c r="AO55" i="1"/>
  <c r="BZ54" i="1"/>
  <c r="BY54" i="1"/>
  <c r="BX54" i="1"/>
  <c r="BW54" i="1"/>
  <c r="BV54" i="1"/>
  <c r="BU54" i="1"/>
  <c r="BT54" i="1"/>
  <c r="BS54" i="1"/>
  <c r="BR54" i="1"/>
  <c r="BQ54" i="1"/>
  <c r="BP54" i="1"/>
  <c r="BI54" i="1"/>
  <c r="BF54" i="1"/>
  <c r="BE54" i="1"/>
  <c r="BD54" i="1"/>
  <c r="BC54" i="1"/>
  <c r="BB54" i="1"/>
  <c r="BA54" i="1"/>
  <c r="AZ54" i="1"/>
  <c r="AY54" i="1"/>
  <c r="AX54" i="1"/>
  <c r="AW54" i="1"/>
  <c r="AV54" i="1"/>
  <c r="AO54" i="1"/>
  <c r="BZ53" i="1"/>
  <c r="BY53" i="1"/>
  <c r="BX53" i="1"/>
  <c r="BW53" i="1"/>
  <c r="BV53" i="1"/>
  <c r="BU53" i="1"/>
  <c r="BT53" i="1"/>
  <c r="BS53" i="1"/>
  <c r="BR53" i="1"/>
  <c r="BQ53" i="1"/>
  <c r="BP53" i="1"/>
  <c r="BI53" i="1"/>
  <c r="BF53" i="1"/>
  <c r="BE53" i="1"/>
  <c r="BD53" i="1"/>
  <c r="BC53" i="1"/>
  <c r="BB53" i="1"/>
  <c r="BA53" i="1"/>
  <c r="AZ53" i="1"/>
  <c r="AY53" i="1"/>
  <c r="AX53" i="1"/>
  <c r="AW53" i="1"/>
  <c r="AV53" i="1"/>
  <c r="AO53" i="1"/>
  <c r="BZ52" i="1"/>
  <c r="BY52" i="1"/>
  <c r="BX52" i="1"/>
  <c r="BW52" i="1"/>
  <c r="BV52" i="1"/>
  <c r="BU52" i="1"/>
  <c r="BT52" i="1"/>
  <c r="BS52" i="1"/>
  <c r="BR52" i="1"/>
  <c r="BQ52" i="1"/>
  <c r="BP52" i="1"/>
  <c r="BI52" i="1"/>
  <c r="BF52" i="1"/>
  <c r="BE52" i="1"/>
  <c r="BD52" i="1"/>
  <c r="BC52" i="1"/>
  <c r="BB52" i="1"/>
  <c r="BA52" i="1"/>
  <c r="AZ52" i="1"/>
  <c r="AY52" i="1"/>
  <c r="AX52" i="1"/>
  <c r="AW52" i="1"/>
  <c r="AV52" i="1"/>
  <c r="AO52" i="1"/>
  <c r="BZ51" i="1"/>
  <c r="BY51" i="1"/>
  <c r="BX51" i="1"/>
  <c r="BW51" i="1"/>
  <c r="BV51" i="1"/>
  <c r="BU51" i="1"/>
  <c r="BT51" i="1"/>
  <c r="BS51" i="1"/>
  <c r="BR51" i="1"/>
  <c r="BQ51" i="1"/>
  <c r="BP51" i="1"/>
  <c r="BI51" i="1"/>
  <c r="BF51" i="1"/>
  <c r="BE51" i="1"/>
  <c r="BD51" i="1"/>
  <c r="BC51" i="1"/>
  <c r="BB51" i="1"/>
  <c r="BA51" i="1"/>
  <c r="AZ51" i="1"/>
  <c r="AY51" i="1"/>
  <c r="AX51" i="1"/>
  <c r="AW51" i="1"/>
  <c r="AV51" i="1"/>
  <c r="AO51" i="1"/>
  <c r="BZ50" i="1"/>
  <c r="BY50" i="1"/>
  <c r="BX50" i="1"/>
  <c r="BW50" i="1"/>
  <c r="BV50" i="1"/>
  <c r="BU50" i="1"/>
  <c r="BT50" i="1"/>
  <c r="BS50" i="1"/>
  <c r="BR50" i="1"/>
  <c r="BQ50" i="1"/>
  <c r="BP50" i="1"/>
  <c r="BI50" i="1"/>
  <c r="BF50" i="1"/>
  <c r="BE50" i="1"/>
  <c r="BD50" i="1"/>
  <c r="BC50" i="1"/>
  <c r="BB50" i="1"/>
  <c r="BA50" i="1"/>
  <c r="AZ50" i="1"/>
  <c r="AY50" i="1"/>
  <c r="AX50" i="1"/>
  <c r="AW50" i="1"/>
  <c r="AV50" i="1"/>
  <c r="AO50" i="1"/>
  <c r="BZ49" i="1"/>
  <c r="BY49" i="1"/>
  <c r="BX49" i="1"/>
  <c r="BW49" i="1"/>
  <c r="BV49" i="1"/>
  <c r="BU49" i="1"/>
  <c r="BT49" i="1"/>
  <c r="BS49" i="1"/>
  <c r="BR49" i="1"/>
  <c r="BQ49" i="1"/>
  <c r="BP49" i="1"/>
  <c r="BI49" i="1"/>
  <c r="BZ48" i="1"/>
  <c r="BY48" i="1"/>
  <c r="BX48" i="1"/>
  <c r="BW48" i="1"/>
  <c r="BV48" i="1"/>
  <c r="BU48" i="1"/>
  <c r="BT48" i="1"/>
  <c r="BS48" i="1"/>
  <c r="BR48" i="1"/>
  <c r="BQ48" i="1"/>
  <c r="BP48" i="1"/>
  <c r="BI48" i="1"/>
  <c r="BZ47" i="1"/>
  <c r="BY47" i="1"/>
  <c r="BX47" i="1"/>
  <c r="BW47" i="1"/>
  <c r="BV47" i="1"/>
  <c r="BU47" i="1"/>
  <c r="BT47" i="1"/>
  <c r="BS47" i="1"/>
  <c r="BR47" i="1"/>
  <c r="BQ47" i="1"/>
  <c r="BP47" i="1"/>
  <c r="BI47" i="1"/>
  <c r="BZ46" i="1"/>
  <c r="BY46" i="1"/>
  <c r="BX46" i="1"/>
  <c r="BW46" i="1"/>
  <c r="BV46" i="1"/>
  <c r="BU46" i="1"/>
  <c r="BT46" i="1"/>
  <c r="BS46" i="1"/>
  <c r="BR46" i="1"/>
  <c r="BQ46" i="1"/>
  <c r="BP46" i="1"/>
  <c r="BI46" i="1"/>
  <c r="BZ45" i="1"/>
  <c r="BY45" i="1"/>
  <c r="BX45" i="1"/>
  <c r="BW45" i="1"/>
  <c r="BV45" i="1"/>
  <c r="BU45" i="1"/>
  <c r="BT45" i="1"/>
  <c r="BS45" i="1"/>
  <c r="BR45" i="1"/>
  <c r="BQ45" i="1"/>
  <c r="BP45" i="1"/>
  <c r="BI45" i="1"/>
  <c r="BZ44" i="1"/>
  <c r="BY44" i="1"/>
  <c r="BX44" i="1"/>
  <c r="BW44" i="1"/>
  <c r="BV44" i="1"/>
  <c r="BU44" i="1"/>
  <c r="BT44" i="1"/>
  <c r="BS44" i="1"/>
  <c r="BR44" i="1"/>
  <c r="BQ44" i="1"/>
  <c r="BP44" i="1"/>
  <c r="BI44" i="1"/>
  <c r="BZ43" i="1"/>
  <c r="BY43" i="1"/>
  <c r="BX43" i="1"/>
  <c r="BW43" i="1"/>
  <c r="BV43" i="1"/>
  <c r="BU43" i="1"/>
  <c r="BT43" i="1"/>
  <c r="BS43" i="1"/>
  <c r="BR43" i="1"/>
  <c r="BQ43" i="1"/>
  <c r="BP43" i="1"/>
  <c r="BI43" i="1"/>
  <c r="BZ42" i="1"/>
  <c r="BY42" i="1"/>
  <c r="BX42" i="1"/>
  <c r="BW42" i="1"/>
  <c r="BV42" i="1"/>
  <c r="BU42" i="1"/>
  <c r="BT42" i="1"/>
  <c r="BS42" i="1"/>
  <c r="BR42" i="1"/>
  <c r="BQ42" i="1"/>
  <c r="BP42" i="1"/>
  <c r="BI42" i="1"/>
  <c r="BZ41" i="1"/>
  <c r="BY41" i="1"/>
  <c r="BX41" i="1"/>
  <c r="BW41" i="1"/>
  <c r="BV41" i="1"/>
  <c r="BU41" i="1"/>
  <c r="BT41" i="1"/>
  <c r="BS41" i="1"/>
  <c r="BR41" i="1"/>
  <c r="BQ41" i="1"/>
  <c r="BP41" i="1"/>
  <c r="BI41" i="1"/>
  <c r="BZ40" i="1"/>
  <c r="BY40" i="1"/>
  <c r="BX40" i="1"/>
  <c r="BW40" i="1"/>
  <c r="BV40" i="1"/>
  <c r="BU40" i="1"/>
  <c r="BT40" i="1"/>
  <c r="BS40" i="1"/>
  <c r="BR40" i="1"/>
  <c r="BQ40" i="1"/>
  <c r="BP40" i="1"/>
  <c r="BI40" i="1"/>
  <c r="BZ39" i="1"/>
  <c r="BY39" i="1"/>
  <c r="BX39" i="1"/>
  <c r="BW39" i="1"/>
  <c r="BV39" i="1"/>
  <c r="BU39" i="1"/>
  <c r="BT39" i="1"/>
  <c r="BS39" i="1"/>
  <c r="BR39" i="1"/>
  <c r="BQ39" i="1"/>
  <c r="BP39" i="1"/>
  <c r="BI39" i="1"/>
  <c r="BZ38" i="1"/>
  <c r="BY38" i="1"/>
  <c r="BX38" i="1"/>
  <c r="BW38" i="1"/>
  <c r="BV38" i="1"/>
  <c r="BU38" i="1"/>
  <c r="BT38" i="1"/>
  <c r="BS38" i="1"/>
  <c r="BR38" i="1"/>
  <c r="BQ38" i="1"/>
  <c r="BP38" i="1"/>
  <c r="BI38" i="1"/>
  <c r="BZ37" i="1"/>
  <c r="BY37" i="1"/>
  <c r="BX37" i="1"/>
  <c r="BW37" i="1"/>
  <c r="BV37" i="1"/>
  <c r="BU37" i="1"/>
  <c r="BT37" i="1"/>
  <c r="BS37" i="1"/>
  <c r="BR37" i="1"/>
  <c r="BQ37" i="1"/>
  <c r="BP37" i="1"/>
  <c r="BI37" i="1"/>
  <c r="BZ36" i="1"/>
  <c r="BY36" i="1"/>
  <c r="BX36" i="1"/>
  <c r="BW36" i="1"/>
  <c r="BV36" i="1"/>
  <c r="BU36" i="1"/>
  <c r="BT36" i="1"/>
  <c r="BS36" i="1"/>
  <c r="BR36" i="1"/>
  <c r="BQ36" i="1"/>
  <c r="BP36" i="1"/>
  <c r="BI36" i="1"/>
  <c r="BZ35" i="1"/>
  <c r="BY35" i="1"/>
  <c r="BX35" i="1"/>
  <c r="BW35" i="1"/>
  <c r="BV35" i="1"/>
  <c r="BU35" i="1"/>
  <c r="BT35" i="1"/>
  <c r="BS35" i="1"/>
  <c r="BR35" i="1"/>
  <c r="BQ35" i="1"/>
  <c r="BP35" i="1"/>
  <c r="BI35" i="1"/>
  <c r="BZ34" i="1"/>
  <c r="BY34" i="1"/>
  <c r="BX34" i="1"/>
  <c r="BW34" i="1"/>
  <c r="BV34" i="1"/>
  <c r="BU34" i="1"/>
  <c r="BT34" i="1"/>
  <c r="BS34" i="1"/>
  <c r="BR34" i="1"/>
  <c r="BQ34" i="1"/>
  <c r="BP34" i="1"/>
  <c r="BI34" i="1"/>
  <c r="BZ33" i="1"/>
  <c r="BY33" i="1"/>
  <c r="BX33" i="1"/>
  <c r="BW33" i="1"/>
  <c r="BV33" i="1"/>
  <c r="BU33" i="1"/>
  <c r="BT33" i="1"/>
  <c r="BS33" i="1"/>
  <c r="BR33" i="1"/>
  <c r="BQ33" i="1"/>
  <c r="BP33" i="1"/>
  <c r="BI33" i="1"/>
  <c r="BZ32" i="1"/>
  <c r="BY32" i="1"/>
  <c r="BX32" i="1"/>
  <c r="BW32" i="1"/>
  <c r="BV32" i="1"/>
  <c r="BU32" i="1"/>
  <c r="BT32" i="1"/>
  <c r="BS32" i="1"/>
  <c r="BR32" i="1"/>
  <c r="BQ32" i="1"/>
  <c r="BP32" i="1"/>
  <c r="BI32" i="1"/>
  <c r="BZ31" i="1"/>
  <c r="BY31" i="1"/>
  <c r="BX31" i="1"/>
  <c r="BW31" i="1"/>
  <c r="BV31" i="1"/>
  <c r="BU31" i="1"/>
  <c r="BT31" i="1"/>
  <c r="BS31" i="1"/>
  <c r="BR31" i="1"/>
  <c r="BQ31" i="1"/>
  <c r="BP31" i="1"/>
  <c r="BI31" i="1"/>
  <c r="BZ30" i="1"/>
  <c r="BY30" i="1"/>
  <c r="BX30" i="1"/>
  <c r="BW30" i="1"/>
  <c r="BV30" i="1"/>
  <c r="BU30" i="1"/>
  <c r="BT30" i="1"/>
  <c r="BS30" i="1"/>
  <c r="BR30" i="1"/>
  <c r="BQ30" i="1"/>
  <c r="BP30" i="1"/>
  <c r="BI30" i="1"/>
  <c r="BZ29" i="1"/>
  <c r="BY29" i="1"/>
  <c r="BX29" i="1"/>
  <c r="BW29" i="1"/>
  <c r="BV29" i="1"/>
  <c r="BU29" i="1"/>
  <c r="BT29" i="1"/>
  <c r="BS29" i="1"/>
  <c r="BR29" i="1"/>
  <c r="BQ29" i="1"/>
  <c r="BP29" i="1"/>
  <c r="BI29" i="1"/>
  <c r="BZ28" i="1"/>
  <c r="BY28" i="1"/>
  <c r="BX28" i="1"/>
  <c r="BW28" i="1"/>
  <c r="BV28" i="1"/>
  <c r="BU28" i="1"/>
  <c r="BT28" i="1"/>
  <c r="BS28" i="1"/>
  <c r="BR28" i="1"/>
  <c r="BQ28" i="1"/>
  <c r="BP28" i="1"/>
  <c r="BI28" i="1"/>
  <c r="BZ27" i="1"/>
  <c r="BY27" i="1"/>
  <c r="BX27" i="1"/>
  <c r="BW27" i="1"/>
  <c r="BV27" i="1"/>
  <c r="BU27" i="1"/>
  <c r="BT27" i="1"/>
  <c r="BS27" i="1"/>
  <c r="BR27" i="1"/>
  <c r="BQ27" i="1"/>
  <c r="BP27" i="1"/>
  <c r="BI27" i="1"/>
  <c r="BZ26" i="1"/>
  <c r="BY26" i="1"/>
  <c r="BX26" i="1"/>
  <c r="BW26" i="1"/>
  <c r="BV26" i="1"/>
  <c r="BU26" i="1"/>
  <c r="BT26" i="1"/>
  <c r="BS26" i="1"/>
  <c r="BR26" i="1"/>
  <c r="BQ26" i="1"/>
  <c r="BP26" i="1"/>
  <c r="BI26" i="1"/>
  <c r="BZ25" i="1"/>
  <c r="BY25" i="1"/>
  <c r="BX25" i="1"/>
  <c r="BW25" i="1"/>
  <c r="BV25" i="1"/>
  <c r="BU25" i="1"/>
  <c r="BT25" i="1"/>
  <c r="BS25" i="1"/>
  <c r="BR25" i="1"/>
  <c r="BQ25" i="1"/>
  <c r="BP25" i="1"/>
  <c r="BI25" i="1"/>
  <c r="BZ24" i="1"/>
  <c r="BY24" i="1"/>
  <c r="BX24" i="1"/>
  <c r="BW24" i="1"/>
  <c r="BV24" i="1"/>
  <c r="BU24" i="1"/>
  <c r="BT24" i="1"/>
  <c r="BS24" i="1"/>
  <c r="BR24" i="1"/>
  <c r="BQ24" i="1"/>
  <c r="BP24" i="1"/>
  <c r="BI24" i="1"/>
  <c r="BZ23" i="1"/>
  <c r="BY23" i="1"/>
  <c r="BX23" i="1"/>
  <c r="BW23" i="1"/>
  <c r="BV23" i="1"/>
  <c r="BU23" i="1"/>
  <c r="BT23" i="1"/>
  <c r="BS23" i="1"/>
  <c r="BR23" i="1"/>
  <c r="BQ23" i="1"/>
  <c r="BP23" i="1"/>
  <c r="BI23" i="1"/>
  <c r="BZ22" i="1"/>
  <c r="BY22" i="1"/>
  <c r="BX22" i="1"/>
  <c r="BW22" i="1"/>
  <c r="BV22" i="1"/>
  <c r="BU22" i="1"/>
  <c r="BT22" i="1"/>
  <c r="BS22" i="1"/>
  <c r="BR22" i="1"/>
  <c r="BQ22" i="1"/>
  <c r="BP22" i="1"/>
  <c r="BI22" i="1"/>
  <c r="BZ21" i="1"/>
  <c r="BY21" i="1"/>
  <c r="BX21" i="1"/>
  <c r="BW21" i="1"/>
  <c r="BV21" i="1"/>
  <c r="BU21" i="1"/>
  <c r="BT21" i="1"/>
  <c r="BS21" i="1"/>
  <c r="BR21" i="1"/>
  <c r="BQ21" i="1"/>
  <c r="BP21" i="1"/>
  <c r="BI21" i="1"/>
  <c r="BZ20" i="1"/>
  <c r="BY20" i="1"/>
  <c r="BX20" i="1"/>
  <c r="BW20" i="1"/>
  <c r="BV20" i="1"/>
  <c r="BU20" i="1"/>
  <c r="BT20" i="1"/>
  <c r="BS20" i="1"/>
  <c r="BR20" i="1"/>
  <c r="BQ20" i="1"/>
  <c r="BP20" i="1"/>
  <c r="BI20" i="1"/>
  <c r="BZ19" i="1"/>
  <c r="BY19" i="1"/>
  <c r="BX19" i="1"/>
  <c r="BW19" i="1"/>
  <c r="BV19" i="1"/>
  <c r="BU19" i="1"/>
  <c r="BT19" i="1"/>
  <c r="BS19" i="1"/>
  <c r="BR19" i="1"/>
  <c r="BQ19" i="1"/>
  <c r="BP19" i="1"/>
  <c r="BI19" i="1"/>
  <c r="BZ18" i="1"/>
  <c r="BY18" i="1"/>
  <c r="BX18" i="1"/>
  <c r="BW18" i="1"/>
  <c r="BV18" i="1"/>
  <c r="BU18" i="1"/>
  <c r="BT18" i="1"/>
  <c r="BS18" i="1"/>
  <c r="BR18" i="1"/>
  <c r="BQ18" i="1"/>
  <c r="BP18" i="1"/>
  <c r="BI18" i="1"/>
  <c r="BZ17" i="1"/>
  <c r="BY17" i="1"/>
  <c r="BX17" i="1"/>
  <c r="BW17" i="1"/>
  <c r="BV17" i="1"/>
  <c r="BU17" i="1"/>
  <c r="BT17" i="1"/>
  <c r="BS17" i="1"/>
  <c r="BR17" i="1"/>
  <c r="BQ17" i="1"/>
  <c r="BP17" i="1"/>
  <c r="BI17" i="1"/>
  <c r="BZ16" i="1"/>
  <c r="BY16" i="1"/>
  <c r="BX16" i="1"/>
  <c r="BW16" i="1"/>
  <c r="BV16" i="1"/>
  <c r="BU16" i="1"/>
  <c r="BT16" i="1"/>
  <c r="BS16" i="1"/>
  <c r="BR16" i="1"/>
  <c r="BQ16" i="1"/>
  <c r="BP16" i="1"/>
  <c r="BI16" i="1"/>
  <c r="BZ15" i="1"/>
  <c r="BY15" i="1"/>
  <c r="BX15" i="1"/>
  <c r="BW15" i="1"/>
  <c r="BV15" i="1"/>
  <c r="BU15" i="1"/>
  <c r="BT15" i="1"/>
  <c r="BS15" i="1"/>
  <c r="BR15" i="1"/>
  <c r="BQ15" i="1"/>
  <c r="BP15" i="1"/>
  <c r="BI15" i="1"/>
  <c r="BZ14" i="1"/>
  <c r="BY14" i="1"/>
  <c r="BX14" i="1"/>
  <c r="BW14" i="1"/>
  <c r="BV14" i="1"/>
  <c r="BU14" i="1"/>
  <c r="BT14" i="1"/>
  <c r="BS14" i="1"/>
  <c r="BR14" i="1"/>
  <c r="BQ14" i="1"/>
  <c r="BP14" i="1"/>
  <c r="BI14" i="1"/>
  <c r="BZ13" i="1"/>
  <c r="BY13" i="1"/>
  <c r="BX13" i="1"/>
  <c r="BW13" i="1"/>
  <c r="BV13" i="1"/>
  <c r="BU13" i="1"/>
  <c r="BT13" i="1"/>
  <c r="BS13" i="1"/>
  <c r="BR13" i="1"/>
  <c r="BQ13" i="1"/>
  <c r="BP13" i="1"/>
  <c r="BI13" i="1"/>
  <c r="BZ12" i="1"/>
  <c r="BY12" i="1"/>
  <c r="BX12" i="1"/>
  <c r="BW12" i="1"/>
  <c r="BV12" i="1"/>
  <c r="BU12" i="1"/>
  <c r="BT12" i="1"/>
  <c r="BS12" i="1"/>
  <c r="BR12" i="1"/>
  <c r="BQ12" i="1"/>
  <c r="BP12" i="1"/>
  <c r="BI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O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O10" i="1"/>
  <c r="BF9" i="1"/>
  <c r="BE9" i="1"/>
  <c r="BD9" i="1"/>
  <c r="BC9" i="1"/>
  <c r="AZ9" i="1"/>
  <c r="AO9" i="1"/>
  <c r="AN9" i="1"/>
  <c r="BF8" i="1"/>
  <c r="BE8" i="1"/>
  <c r="BD8" i="1"/>
  <c r="BC8" i="1"/>
  <c r="AZ8" i="1"/>
  <c r="AO8" i="1"/>
  <c r="AN8" i="1"/>
  <c r="AU190" i="1" l="1"/>
  <c r="AU185" i="1"/>
  <c r="AU180" i="1"/>
  <c r="AU178" i="1"/>
  <c r="AU176" i="1"/>
  <c r="AU168" i="1"/>
  <c r="AU143" i="1"/>
  <c r="AU140" i="1"/>
  <c r="BO134" i="1"/>
  <c r="BO124" i="1"/>
  <c r="BO113" i="1"/>
  <c r="BO112" i="1"/>
  <c r="AU175" i="1"/>
  <c r="AU174" i="1"/>
  <c r="AU172" i="1"/>
  <c r="AU170" i="1"/>
  <c r="AU166" i="1"/>
  <c r="BO143" i="1"/>
  <c r="BO130" i="1"/>
  <c r="AU165" i="1"/>
  <c r="AU164" i="1"/>
  <c r="AU162" i="1"/>
  <c r="AU161" i="1"/>
  <c r="AU160" i="1"/>
  <c r="AU154" i="1"/>
  <c r="BO148" i="1"/>
  <c r="AU141" i="1"/>
  <c r="BO136" i="1"/>
  <c r="BO129" i="1"/>
  <c r="BO107" i="1"/>
  <c r="BO111" i="1"/>
  <c r="AU159" i="1"/>
  <c r="AU158" i="1"/>
  <c r="AU157" i="1"/>
  <c r="AU156" i="1"/>
  <c r="AU155" i="1"/>
  <c r="BO145" i="1"/>
  <c r="BO142" i="1"/>
  <c r="BO110" i="1"/>
  <c r="AU153" i="1"/>
  <c r="BO152" i="1"/>
  <c r="AU152" i="1"/>
  <c r="BO151" i="1"/>
  <c r="AU151" i="1"/>
  <c r="BO149" i="1"/>
  <c r="BO146" i="1"/>
  <c r="AU146" i="1"/>
  <c r="BO109" i="1"/>
  <c r="BO150" i="1"/>
  <c r="AU150" i="1"/>
  <c r="AU149" i="1"/>
  <c r="AU148" i="1"/>
  <c r="BO140" i="1"/>
  <c r="BO135" i="1"/>
  <c r="BO147" i="1"/>
  <c r="AU147" i="1"/>
  <c r="BO125" i="1"/>
  <c r="BO108" i="1"/>
  <c r="AU145" i="1"/>
  <c r="BO144" i="1"/>
  <c r="AU144" i="1"/>
  <c r="BO106" i="1"/>
  <c r="AU142" i="1"/>
  <c r="BO141" i="1"/>
  <c r="BO105" i="1"/>
  <c r="BO139" i="1"/>
  <c r="BO138" i="1"/>
  <c r="BO137" i="1"/>
  <c r="BO123" i="1"/>
  <c r="BO133" i="1"/>
  <c r="BO132" i="1"/>
  <c r="BO131" i="1"/>
  <c r="BO128" i="1"/>
  <c r="BO127" i="1"/>
  <c r="BO126" i="1"/>
  <c r="BO122" i="1"/>
  <c r="BO121" i="1"/>
  <c r="BO120" i="1"/>
  <c r="BO119" i="1"/>
  <c r="BO118" i="1"/>
  <c r="BO104" i="1"/>
  <c r="BO103" i="1"/>
  <c r="BO102" i="1"/>
  <c r="BO117" i="1"/>
  <c r="BO116" i="1"/>
  <c r="BO115" i="1"/>
  <c r="BO114" i="1"/>
  <c r="BO51" i="1"/>
  <c r="BO15" i="1"/>
  <c r="BO42" i="1"/>
  <c r="BO18" i="1"/>
  <c r="BO20" i="1"/>
  <c r="BO17" i="1"/>
  <c r="BO22" i="1"/>
  <c r="BO21" i="1"/>
  <c r="BO23" i="1"/>
  <c r="BO57" i="1"/>
  <c r="AU52" i="1"/>
  <c r="BO16" i="1"/>
  <c r="BO62" i="1"/>
  <c r="AU58" i="1"/>
  <c r="BO60" i="1"/>
  <c r="AU60" i="1"/>
  <c r="AU57" i="1"/>
  <c r="AU100" i="1"/>
  <c r="AU95" i="1"/>
  <c r="AU90" i="1"/>
  <c r="AU85" i="1"/>
  <c r="AU80" i="1"/>
  <c r="AU79" i="1"/>
  <c r="AU73" i="1"/>
  <c r="AU78" i="1"/>
  <c r="AU77" i="1"/>
  <c r="AU76" i="1"/>
  <c r="AU75" i="1"/>
  <c r="AU74" i="1"/>
  <c r="BO58" i="1"/>
  <c r="AU72" i="1"/>
  <c r="AU71" i="1"/>
  <c r="AU70" i="1"/>
  <c r="AU69" i="1"/>
  <c r="AU68" i="1"/>
  <c r="AU67" i="1"/>
  <c r="AU66" i="1"/>
  <c r="AU65" i="1"/>
  <c r="AU64" i="1"/>
  <c r="AU63" i="1"/>
  <c r="BO19" i="1"/>
  <c r="AU62" i="1"/>
  <c r="BO61" i="1"/>
  <c r="AU61" i="1"/>
  <c r="BO54" i="1"/>
  <c r="BO59" i="1"/>
  <c r="AU59" i="1"/>
  <c r="BO56" i="1"/>
  <c r="AU56" i="1"/>
  <c r="BO55" i="1"/>
  <c r="AU55" i="1"/>
  <c r="AU54" i="1"/>
  <c r="BO53" i="1"/>
  <c r="AU53" i="1"/>
  <c r="BO52" i="1"/>
  <c r="BO48" i="1"/>
  <c r="AU51" i="1"/>
  <c r="BO50" i="1"/>
  <c r="AU50" i="1"/>
  <c r="BO49" i="1"/>
  <c r="BO47" i="1"/>
  <c r="BO46" i="1"/>
  <c r="BO45" i="1"/>
  <c r="BO44" i="1"/>
  <c r="BO43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14" i="1"/>
  <c r="BO13" i="1"/>
  <c r="BO12" i="1"/>
</calcChain>
</file>

<file path=xl/sharedStrings.xml><?xml version="1.0" encoding="utf-8"?>
<sst xmlns="http://schemas.openxmlformats.org/spreadsheetml/2006/main" count="443" uniqueCount="58">
  <si>
    <t>設定　赤字のところを入力し、ボタンを押すと AN:BF (先物・Call) / BH:BZ (Put) に RSS 銘柄を書き込みます</t>
  </si>
  <si>
    <t>１限</t>
  </si>
  <si>
    <t>２限</t>
  </si>
  <si>
    <t>限月(yymm)</t>
  </si>
  <si>
    <t>2611</t>
  </si>
  <si>
    <t>2612</t>
  </si>
  <si>
    <t>ATM</t>
  </si>
  <si>
    <t>ATMから上下</t>
  </si>
  <si>
    <t>円刻み</t>
  </si>
  <si>
    <t>ATM重複幅</t>
  </si>
  <si>
    <t>vi-n0</t>
  </si>
  <si>
    <t>V</t>
  </si>
  <si>
    <t>vi-x0</t>
  </si>
  <si>
    <t>26-11</t>
  </si>
  <si>
    <t>F</t>
  </si>
  <si>
    <t>26-12</t>
  </si>
  <si>
    <t>P</t>
  </si>
  <si>
    <t>C</t>
  </si>
  <si>
    <t>Call</t>
    <phoneticPr fontId="1"/>
  </si>
  <si>
    <t>Put</t>
    <phoneticPr fontId="1"/>
  </si>
  <si>
    <t>銘柄コード</t>
    <phoneticPr fontId="1"/>
  </si>
  <si>
    <t>銘柄名称</t>
    <phoneticPr fontId="1"/>
  </si>
  <si>
    <t>取引単位</t>
    <phoneticPr fontId="1"/>
  </si>
  <si>
    <t>限月</t>
    <phoneticPr fontId="1"/>
  </si>
  <si>
    <t>CP区分</t>
    <phoneticPr fontId="1"/>
  </si>
  <si>
    <t>権利行使価格</t>
    <phoneticPr fontId="1"/>
  </si>
  <si>
    <t>売買開始日</t>
    <phoneticPr fontId="1"/>
  </si>
  <si>
    <t>売買最終日</t>
    <phoneticPr fontId="1"/>
  </si>
  <si>
    <t>最良売気配値1</t>
    <phoneticPr fontId="1"/>
  </si>
  <si>
    <t>最良売気配数量1</t>
    <phoneticPr fontId="1"/>
  </si>
  <si>
    <t>最良買気配値1</t>
    <phoneticPr fontId="1"/>
  </si>
  <si>
    <t>最良買気配数量1</t>
    <phoneticPr fontId="1"/>
  </si>
  <si>
    <t>現在値</t>
    <phoneticPr fontId="1"/>
  </si>
  <si>
    <t>出来高</t>
    <phoneticPr fontId="1"/>
  </si>
  <si>
    <t>売買代金</t>
    <phoneticPr fontId="1"/>
  </si>
  <si>
    <t>始値</t>
    <phoneticPr fontId="1"/>
  </si>
  <si>
    <t>高値</t>
    <phoneticPr fontId="1"/>
  </si>
  <si>
    <t>安値</t>
    <phoneticPr fontId="1"/>
  </si>
  <si>
    <t>前日終値</t>
    <phoneticPr fontId="1"/>
  </si>
  <si>
    <t>Symbol</t>
    <phoneticPr fontId="1"/>
  </si>
  <si>
    <t>SymbolName</t>
    <phoneticPr fontId="1"/>
  </si>
  <si>
    <t>TradingUnit</t>
    <phoneticPr fontId="1"/>
  </si>
  <si>
    <t>DerivMonth</t>
    <phoneticPr fontId="1"/>
  </si>
  <si>
    <t>PutOrCall</t>
    <phoneticPr fontId="1"/>
  </si>
  <si>
    <t>StrikePrice</t>
    <phoneticPr fontId="1"/>
  </si>
  <si>
    <t>TradeStart</t>
    <phoneticPr fontId="1"/>
  </si>
  <si>
    <t>TradeEnd</t>
    <phoneticPr fontId="1"/>
  </si>
  <si>
    <t>Sell1.Price</t>
    <phoneticPr fontId="1"/>
  </si>
  <si>
    <t>Sell1.Qty</t>
    <phoneticPr fontId="1"/>
  </si>
  <si>
    <t>Buy1.Price</t>
    <phoneticPr fontId="1"/>
  </si>
  <si>
    <t>Buy1.Qty</t>
    <phoneticPr fontId="1"/>
  </si>
  <si>
    <t>CurrentPrice</t>
    <phoneticPr fontId="1"/>
  </si>
  <si>
    <t>TradingVolume</t>
    <phoneticPr fontId="1"/>
  </si>
  <si>
    <t>TradingValue</t>
    <phoneticPr fontId="1"/>
  </si>
  <si>
    <t>OpeningPrice</t>
    <phoneticPr fontId="1"/>
  </si>
  <si>
    <t>HighPrice</t>
    <phoneticPr fontId="1"/>
  </si>
  <si>
    <t>LowPrice</t>
    <phoneticPr fontId="1"/>
  </si>
  <si>
    <t>PreviousClose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</si>
</sst>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8cf1ad348244608b72d359ebfbe4e5c">
      <tp>
        <v>0</v>
        <stp/>
        <stp>Market</stp>
        <stp>FOP</stp>
        <stp>141470018</stp>
        <stp>最良買気配数量1</stp>
        <tr r="AY100" s="1"/>
      </tp>
      <tp>
        <v>3</v>
        <stp/>
        <stp>Market</stp>
        <stp>FOP</stp>
        <stp>141475018</stp>
        <stp>最良買気配数量1</stp>
        <tr r="AY90" s="1"/>
      </tp>
      <tp>
        <v>14</v>
        <stp/>
        <stp>Market</stp>
        <stp>FOP</stp>
        <stp>141480018</stp>
        <stp>最良買気配数量1</stp>
        <tr r="AY170" s="1"/>
      </tp>
      <tp>
        <v>3</v>
        <stp/>
        <stp>Market</stp>
        <stp>FOP</stp>
        <stp>131487518</stp>
        <stp>最良買気配数量1</stp>
        <tr r="BS145" s="1"/>
      </tp>
      <tp>
        <v>1</v>
        <stp/>
        <stp>Market</stp>
        <stp>FOP</stp>
        <stp>141481018</stp>
        <stp>最良買気配数量1</stp>
        <tr r="AY172" s="1"/>
      </tp>
      <tp>
        <v>1</v>
        <stp/>
        <stp>Market</stp>
        <stp>FOP</stp>
        <stp>141482018</stp>
        <stp>最良買気配数量1</stp>
        <tr r="AY174" s="1"/>
      </tp>
      <tp>
        <v>2</v>
        <stp/>
        <stp>Market</stp>
        <stp>FOP</stp>
        <stp>141482518</stp>
        <stp>最良買気配数量1</stp>
        <tr r="AY155" s="1"/>
      </tp>
      <tp>
        <v>5</v>
        <stp/>
        <stp>Market</stp>
        <stp>FOP</stp>
        <stp>141483018</stp>
        <stp>最良買気配数量1</stp>
        <tr r="AY156" s="1"/>
      </tp>
      <tp>
        <v>16</v>
        <stp/>
        <stp>Market</stp>
        <stp>FOP</stp>
        <stp>141483518</stp>
        <stp>最良買気配数量1</stp>
        <tr r="AY157" s="1"/>
      </tp>
      <tp>
        <v>8</v>
        <stp/>
        <stp>Market</stp>
        <stp>FOP</stp>
        <stp>141484018</stp>
        <stp>最良買気配数量1</stp>
        <tr r="AY158" s="1"/>
      </tp>
      <tp>
        <v>6</v>
        <stp/>
        <stp>Market</stp>
        <stp>FOP</stp>
        <stp>141484518</stp>
        <stp>最良買気配数量1</stp>
        <tr r="AY159" s="1"/>
      </tp>
      <tp>
        <v>8</v>
        <stp/>
        <stp>Market</stp>
        <stp>FOP</stp>
        <stp>141485018</stp>
        <stp>最良買気配数量1</stp>
        <tr r="AY160" s="1"/>
      </tp>
      <tp>
        <v>6</v>
        <stp/>
        <stp>Market</stp>
        <stp>FOP</stp>
        <stp>141485518</stp>
        <stp>最良買気配数量1</stp>
        <tr r="AY161" s="1"/>
      </tp>
      <tp>
        <v>11</v>
        <stp/>
        <stp>Market</stp>
        <stp>FOP</stp>
        <stp>141486018</stp>
        <stp>最良買気配数量1</stp>
        <tr r="AY162" s="1"/>
      </tp>
      <tp>
        <v>2</v>
        <stp/>
        <stp>Market</stp>
        <stp>FOP</stp>
        <stp>141487018</stp>
        <stp>最良買気配数量1</stp>
        <tr r="AY164" s="1"/>
      </tp>
      <tp>
        <v>1</v>
        <stp/>
        <stp>Market</stp>
        <stp>FOP</stp>
        <stp>141487518</stp>
        <stp>最良買気配数量1</stp>
        <tr r="AY145" s="1"/>
      </tp>
      <tp>
        <v>11</v>
        <stp/>
        <stp>Market</stp>
        <stp>FOP</stp>
        <stp>141488018</stp>
        <stp>最良買気配数量1</stp>
        <tr r="AY166" s="1"/>
      </tp>
      <tp>
        <v>40</v>
        <stp/>
        <stp>Market</stp>
        <stp>FOP</stp>
        <stp>191485018</stp>
        <stp>最良買気配数量1</stp>
        <tr r="AY180" s="1"/>
      </tp>
      <tp>
        <v>11</v>
        <stp/>
        <stp>Market</stp>
        <stp>FOP</stp>
        <stp>141489018</stp>
        <stp>最良買気配数量1</stp>
        <tr r="AY168" s="1"/>
      </tp>
      <tp>
        <v>27</v>
        <stp/>
        <stp>Market</stp>
        <stp>FOP</stp>
        <stp>191484018</stp>
        <stp>最良買気配数量1</stp>
        <tr r="AY178" s="1"/>
      </tp>
      <tp>
        <v>2</v>
        <stp/>
        <stp>Market</stp>
        <stp>FOP</stp>
        <stp>191487518</stp>
        <stp>最良買気配数量1</stp>
        <tr r="AY185" s="1"/>
      </tp>
      <tp>
        <v>48</v>
        <stp/>
        <stp>Market</stp>
        <stp>FOP</stp>
        <stp>191480018</stp>
        <stp>最良買気配数量1</stp>
        <tr r="AY190" s="1"/>
      </tp>
      <tp>
        <v>1</v>
        <stp/>
        <stp>Market</stp>
        <stp>FOP</stp>
        <stp>191483018</stp>
        <stp>最良買気配数量1</stp>
        <tr r="AY176" s="1"/>
      </tp>
      <tp>
        <v>1</v>
        <stp/>
        <stp>Market</stp>
        <stp>FOP</stp>
        <stp>191482518</stp>
        <stp>最良買気配数量1</stp>
        <tr r="AY175" s="1"/>
      </tp>
    </main>
    <main first="rtdsrv.48cf1ad348244608b72d359ebfbe4e5c">
      <tp>
        <v>2</v>
        <stp/>
        <stp>Market</stp>
        <stp>FOP</stp>
        <stp>161110019</stp>
        <stp>最良買気配数量1</stp>
        <tr r="AY10" s="1"/>
      </tp>
      <tp>
        <v>8</v>
        <stp/>
        <stp>Market</stp>
        <stp>FOP</stp>
        <stp>131117518</stp>
        <stp>最良買気配数量1</stp>
        <tr r="BS15" s="1"/>
      </tp>
      <tp>
        <v>32</v>
        <stp/>
        <stp>Market</stp>
        <stp>FOP</stp>
        <stp>131116518</stp>
        <stp>最良買気配数量1</stp>
        <tr r="BS13" s="1"/>
      </tp>
      <tp>
        <v>8</v>
        <stp/>
        <stp>Market</stp>
        <stp>FOP</stp>
        <stp>131114518</stp>
        <stp>最良買気配数量1</stp>
        <tr r="BS29" s="1"/>
      </tp>
      <tp>
        <v>1</v>
        <stp/>
        <stp>Market</stp>
        <stp>FOP</stp>
        <stp>181118018</stp>
        <stp>最良買気配数量1</stp>
        <tr r="BS16" s="1"/>
      </tp>
      <tp>
        <v>31</v>
        <stp/>
        <stp>Market</stp>
        <stp>FOP</stp>
        <stp>131113518</stp>
        <stp>最良買気配数量1</stp>
        <tr r="BS27" s="1"/>
      </tp>
      <tp>
        <v>1</v>
        <stp/>
        <stp>Market</stp>
        <stp>FOP</stp>
        <stp>181118518</stp>
        <stp>最良買気配数量1</stp>
        <tr r="BS37" s="1"/>
      </tp>
      <tp>
        <v>12</v>
        <stp/>
        <stp>Market</stp>
        <stp>FOP</stp>
        <stp>181119018</stp>
        <stp>最良買気配数量1</stp>
        <tr r="BS18" s="1"/>
      </tp>
      <tp>
        <v>8</v>
        <stp/>
        <stp>Market</stp>
        <stp>FOP</stp>
        <stp>131112518</stp>
        <stp>最良買気配数量1</stp>
        <tr r="BS25" s="1"/>
      </tp>
      <tp>
        <v>1</v>
        <stp/>
        <stp>Market</stp>
        <stp>FOP</stp>
        <stp>181119518</stp>
        <stp>最良買気配数量1</stp>
        <tr r="BS39" s="1"/>
      </tp>
      <tp>
        <v>8</v>
        <stp/>
        <stp>Market</stp>
        <stp>FOP</stp>
        <stp>131111518</stp>
        <stp>最良買気配数量1</stp>
        <tr r="BS23" s="1"/>
      </tp>
      <tp>
        <v>31</v>
        <stp/>
        <stp>Market</stp>
        <stp>FOP</stp>
        <stp>131110518</stp>
        <stp>最良買気配数量1</stp>
        <tr r="BS21" s="1"/>
      </tp>
      <tp>
        <v>44</v>
        <stp/>
        <stp>Market</stp>
        <stp>FOP</stp>
        <stp>181114018</stp>
        <stp>最良買気配数量1</stp>
        <tr r="BS28" s="1"/>
      </tp>
      <tp>
        <v>44</v>
        <stp/>
        <stp>Market</stp>
        <stp>FOP</stp>
        <stp>181115018</stp>
        <stp>最良買気配数量1</stp>
        <tr r="BS30" s="1"/>
      </tp>
      <tp>
        <v>31</v>
        <stp/>
        <stp>Market</stp>
        <stp>FOP</stp>
        <stp>181115518</stp>
        <stp>最良買気配数量1</stp>
        <tr r="BS31" s="1"/>
      </tp>
      <tp>
        <v>12</v>
        <stp/>
        <stp>Market</stp>
        <stp>FOP</stp>
        <stp>181116018</stp>
        <stp>最良買気配数量1</stp>
        <tr r="BS12" s="1"/>
      </tp>
      <tp>
        <v>8</v>
        <stp/>
        <stp>Market</stp>
        <stp>FOP</stp>
        <stp>181116518</stp>
        <stp>最良買気配数量1</stp>
        <tr r="BS33" s="1"/>
      </tp>
      <tp>
        <v>39</v>
        <stp/>
        <stp>Market</stp>
        <stp>FOP</stp>
        <stp>181117018</stp>
        <stp>最良買気配数量1</stp>
        <tr r="BS14" s="1"/>
      </tp>
      <tp>
        <v>29</v>
        <stp/>
        <stp>Market</stp>
        <stp>FOP</stp>
        <stp>181117518</stp>
        <stp>最良買気配数量1</stp>
        <tr r="BS35" s="1"/>
      </tp>
      <tp>
        <v>12</v>
        <stp/>
        <stp>Market</stp>
        <stp>FOP</stp>
        <stp>181110018</stp>
        <stp>最良買気配数量1</stp>
        <tr r="BS20" s="1"/>
      </tp>
      <tp>
        <v>1</v>
        <stp/>
        <stp>Market</stp>
        <stp>FOP</stp>
        <stp>181110518</stp>
        <stp>最良買気配数量1</stp>
        <tr r="BS41" s="1"/>
      </tp>
      <tp>
        <v>44</v>
        <stp/>
        <stp>Market</stp>
        <stp>FOP</stp>
        <stp>181111018</stp>
        <stp>最良買気配数量1</stp>
        <tr r="BS22" s="1"/>
      </tp>
      <tp>
        <v>14</v>
        <stp/>
        <stp>Market</stp>
        <stp>FOP</stp>
        <stp>181111518</stp>
        <stp>最良買気配数量1</stp>
        <tr r="BS43" s="1"/>
      </tp>
      <tp>
        <v>44</v>
        <stp/>
        <stp>Market</stp>
        <stp>FOP</stp>
        <stp>181112018</stp>
        <stp>最良買気配数量1</stp>
        <tr r="BS24" s="1"/>
      </tp>
      <tp>
        <v>31</v>
        <stp/>
        <stp>Market</stp>
        <stp>FOP</stp>
        <stp>131119518</stp>
        <stp>最良買気配数量1</stp>
        <tr r="BS19" s="1"/>
      </tp>
      <tp>
        <v>12</v>
        <stp/>
        <stp>Market</stp>
        <stp>FOP</stp>
        <stp>181113018</stp>
        <stp>最良買気配数量1</stp>
        <tr r="BS26" s="1"/>
      </tp>
      <tp>
        <v>32</v>
        <stp/>
        <stp>Market</stp>
        <stp>FOP</stp>
        <stp>131118518</stp>
        <stp>最良買気配数量1</stp>
        <tr r="BS17" s="1"/>
      </tp>
      <tp>
        <v>8</v>
        <stp/>
        <stp>Market</stp>
        <stp>FOP</stp>
        <stp>181113518</stp>
        <stp>最良買気配数量1</stp>
        <tr r="BS47" s="1"/>
      </tp>
      <tp>
        <v>4</v>
        <stp/>
        <stp>Market</stp>
        <stp>FOP</stp>
        <stp>191112518</stp>
        <stp>最良買気配数量1</stp>
        <tr r="AY65" s="1"/>
      </tp>
      <tp>
        <v>29</v>
        <stp/>
        <stp>Market</stp>
        <stp>FOP</stp>
        <stp>161120019</stp>
        <stp>最良買気配数量1</stp>
        <tr r="AY11" s="1"/>
      </tp>
      <tp>
        <v>5</v>
        <stp/>
        <stp>Market</stp>
        <stp>FOP</stp>
        <stp>131357018</stp>
        <stp>最良買気配数量1</stp>
        <tr r="BS54" s="1"/>
      </tp>
      <tp>
        <v>2</v>
        <stp/>
        <stp>Market</stp>
        <stp>FOP</stp>
        <stp>141350018</stp>
        <stp>最良買気配数量1</stp>
        <tr r="AY60" s="1"/>
      </tp>
      <tp>
        <v>35</v>
        <stp/>
        <stp>Market</stp>
        <stp>FOP</stp>
        <stp>141351018</stp>
        <stp>最良買気配数量1</stp>
        <tr r="AY62" s="1"/>
      </tp>
      <tp>
        <v>10</v>
        <stp/>
        <stp>Market</stp>
        <stp>FOP</stp>
        <stp>141352018</stp>
        <stp>最良買気配数量1</stp>
        <tr r="AY64" s="1"/>
      </tp>
      <tp>
        <v>4</v>
        <stp/>
        <stp>Market</stp>
        <stp>FOP</stp>
        <stp>141353018</stp>
        <stp>最良買気配数量1</stp>
        <tr r="AY66" s="1"/>
      </tp>
      <tp>
        <v>35</v>
        <stp/>
        <stp>Market</stp>
        <stp>FOP</stp>
        <stp>141354018</stp>
        <stp>最良買気配数量1</stp>
        <tr r="AY68" s="1"/>
      </tp>
      <tp>
        <v>2</v>
        <stp/>
        <stp>Market</stp>
        <stp>FOP</stp>
        <stp>191359018</stp>
        <stp>最良買気配数量1</stp>
        <tr r="AY78" s="1"/>
      </tp>
      <tp>
        <v>1</v>
        <stp/>
        <stp>Market</stp>
        <stp>FOP</stp>
        <stp>191358018</stp>
        <stp>最良買気配数量1</stp>
        <tr r="AY76" s="1"/>
      </tp>
      <tp>
        <v>20</v>
        <stp/>
        <stp>Market</stp>
        <stp>FOP</stp>
        <stp>131351018</stp>
        <stp>最良買気配数量1</stp>
        <tr r="BS62" s="1"/>
      </tp>
      <tp>
        <v>27</v>
        <stp/>
        <stp>Market</stp>
        <stp>FOP</stp>
        <stp>131350018</stp>
        <stp>最良買気配数量1</stp>
        <tr r="BS60" s="1"/>
      </tp>
      <tp>
        <v>27</v>
        <stp/>
        <stp>Market</stp>
        <stp>FOP</stp>
        <stp>141357018</stp>
        <stp>最良買気配数量1</stp>
        <tr r="AY54" s="1"/>
      </tp>
      <tp>
        <v>0</v>
        <stp/>
        <stp>Market</stp>
        <stp>FOP</stp>
        <stp>141357518</stp>
        <stp>最良買気配数量1</stp>
        <tr r="AY95" s="1"/>
      </tp>
      <tp>
        <v>30</v>
        <stp/>
        <stp>Market</stp>
        <stp>FOP</stp>
        <stp>141358018</stp>
        <stp>最良買気配数量1</stp>
        <tr r="AY56" s="1"/>
      </tp>
      <tp>
        <v>9</v>
        <stp/>
        <stp>Market</stp>
        <stp>FOP</stp>
        <stp>191355018</stp>
        <stp>最良買気配数量1</stp>
        <tr r="AY70" s="1"/>
      </tp>
      <tp>
        <v>17</v>
        <stp/>
        <stp>Market</stp>
        <stp>FOP</stp>
        <stp>141359018</stp>
        <stp>最良買気配数量1</stp>
        <tr r="AY58" s="1"/>
      </tp>
      <tp>
        <v>12</v>
        <stp/>
        <stp>Market</stp>
        <stp>FOP</stp>
        <stp>191357018</stp>
        <stp>最良買気配数量1</stp>
        <tr r="AY74" s="1"/>
      </tp>
      <tp>
        <v>1</v>
        <stp/>
        <stp>Market</stp>
        <stp>FOP</stp>
        <stp>191356018</stp>
        <stp>最良買気配数量1</stp>
        <tr r="AY72" s="1"/>
      </tp>
      <tp>
        <v>3</v>
        <stp/>
        <stp>Market</stp>
        <stp>FOP</stp>
        <stp>191350018</stp>
        <stp>最良買気配数量1</stp>
        <tr r="AY80" s="1"/>
      </tp>
      <tp>
        <v>27</v>
        <stp/>
        <stp>Market</stp>
        <stp>FOP</stp>
        <stp>131359018</stp>
        <stp>最良買気配数量1</stp>
        <tr r="BS58" s="1"/>
      </tp>
      <tp>
        <v>17</v>
        <stp/>
        <stp>Market</stp>
        <stp>FOP</stp>
        <stp>131358018</stp>
        <stp>最良買気配数量1</stp>
        <tr r="BS56" s="1"/>
      </tp>
      <tp>
        <v>2</v>
        <stp/>
        <stp>Market</stp>
        <stp>FOP</stp>
        <stp>131367018</stp>
        <stp>最良買気配数量1</stp>
        <tr r="BS124" s="1"/>
      </tp>
      <tp>
        <v>8</v>
        <stp/>
        <stp>Market</stp>
        <stp>FOP</stp>
        <stp>131367518</stp>
        <stp>最良買気配数量1</stp>
        <tr r="BS125" s="1"/>
      </tp>
      <tp>
        <v>4</v>
        <stp/>
        <stp>Market</stp>
        <stp>FOP</stp>
        <stp>131366018</stp>
        <stp>最良買気配数量1</stp>
        <tr r="BS122" s="1"/>
      </tp>
      <tp>
        <v>8</v>
        <stp/>
        <stp>Market</stp>
        <stp>FOP</stp>
        <stp>131366518</stp>
        <stp>最良買気配数量1</stp>
        <tr r="BS123" s="1"/>
      </tp>
      <tp>
        <v>2</v>
        <stp/>
        <stp>Market</stp>
        <stp>FOP</stp>
        <stp>131365018</stp>
        <stp>最良買気配数量1</stp>
        <tr r="BS120" s="1"/>
      </tp>
      <tp>
        <v>2</v>
        <stp/>
        <stp>Market</stp>
        <stp>FOP</stp>
        <stp>131365518</stp>
        <stp>最良買気配数量1</stp>
        <tr r="BS121" s="1"/>
      </tp>
      <tp>
        <v>2</v>
        <stp/>
        <stp>Market</stp>
        <stp>FOP</stp>
        <stp>131364018</stp>
        <stp>最良買気配数量1</stp>
        <tr r="BS118" s="1"/>
      </tp>
      <tp>
        <v>2</v>
        <stp/>
        <stp>Market</stp>
        <stp>FOP</stp>
        <stp>131364518</stp>
        <stp>最良買気配数量1</stp>
        <tr r="BS119" s="1"/>
      </tp>
      <tp>
        <v>1</v>
        <stp/>
        <stp>Market</stp>
        <stp>FOP</stp>
        <stp>131363018</stp>
        <stp>最良買気配数量1</stp>
        <tr r="BS116" s="1"/>
      </tp>
      <tp>
        <v>4</v>
        <stp/>
        <stp>Market</stp>
        <stp>FOP</stp>
        <stp>181368018</stp>
        <stp>最良買気配数量1</stp>
        <tr r="BS146" s="1"/>
      </tp>
      <tp>
        <v>36</v>
        <stp/>
        <stp>Market</stp>
        <stp>FOP</stp>
        <stp>191369018</stp>
        <stp>最良買気配数量1</stp>
        <tr r="AY148" s="1"/>
      </tp>
      <tp>
        <v>1</v>
        <stp/>
        <stp>Market</stp>
        <stp>FOP</stp>
        <stp>131363518</stp>
        <stp>最良買気配数量1</stp>
        <tr r="BS117" s="1"/>
      </tp>
      <tp>
        <v>3</v>
        <stp/>
        <stp>Market</stp>
        <stp>FOP</stp>
        <stp>181368518</stp>
        <stp>最良買気配数量1</stp>
        <tr r="BS147" s="1"/>
      </tp>
      <tp>
        <v>3</v>
        <stp/>
        <stp>Market</stp>
        <stp>FOP</stp>
        <stp>191369518</stp>
        <stp>最良買気配数量1</stp>
        <tr r="AY149" s="1"/>
      </tp>
      <tp>
        <v>8</v>
        <stp/>
        <stp>Market</stp>
        <stp>FOP</stp>
        <stp>131362018</stp>
        <stp>最良買気配数量1</stp>
        <tr r="BS134" s="1"/>
      </tp>
      <tp>
        <v>4</v>
        <stp/>
        <stp>Market</stp>
        <stp>FOP</stp>
        <stp>181369018</stp>
        <stp>最良買気配数量1</stp>
        <tr r="BS148" s="1"/>
      </tp>
      <tp>
        <v>1</v>
        <stp/>
        <stp>Market</stp>
        <stp>FOP</stp>
        <stp>191368018</stp>
        <stp>最良買気配数量1</stp>
        <tr r="AY146" s="1"/>
      </tp>
      <tp>
        <v>13</v>
        <stp/>
        <stp>Market</stp>
        <stp>FOP</stp>
        <stp>181369518</stp>
        <stp>最良買気配数量1</stp>
        <tr r="BS149" s="1"/>
      </tp>
      <tp>
        <v>3</v>
        <stp/>
        <stp>Market</stp>
        <stp>FOP</stp>
        <stp>191368518</stp>
        <stp>最良買気配数量1</stp>
        <tr r="AY147" s="1"/>
      </tp>
      <tp>
        <v>2</v>
        <stp/>
        <stp>Market</stp>
        <stp>FOP</stp>
        <stp>131361018</stp>
        <stp>最良買気配数量1</stp>
        <tr r="BS132" s="1"/>
      </tp>
      <tp>
        <v>2</v>
        <stp/>
        <stp>Market</stp>
        <stp>FOP</stp>
        <stp>131361518</stp>
        <stp>最良買気配数量1</stp>
        <tr r="BS133" s="1"/>
      </tp>
      <tp>
        <v>2</v>
        <stp/>
        <stp>Market</stp>
        <stp>FOP</stp>
        <stp>131360018</stp>
        <stp>最良買気配数量1</stp>
        <tr r="BS130" s="1"/>
      </tp>
      <tp>
        <v>2</v>
        <stp/>
        <stp>Market</stp>
        <stp>FOP</stp>
        <stp>131360518</stp>
        <stp>最良買気配数量1</stp>
        <tr r="BS131" s="1"/>
      </tp>
      <tp>
        <v>5</v>
        <stp/>
        <stp>Market</stp>
        <stp>FOP</stp>
        <stp>181364018</stp>
        <stp>最良買気配数量1</stp>
        <tr r="BS138" s="1"/>
      </tp>
      <tp>
        <v>20</v>
        <stp/>
        <stp>Market</stp>
        <stp>FOP</stp>
        <stp>191365018</stp>
        <stp>最良買気配数量1</stp>
        <tr r="AY140" s="1"/>
      </tp>
      <tp>
        <v>4</v>
        <stp/>
        <stp>Market</stp>
        <stp>FOP</stp>
        <stp>181364518</stp>
        <stp>最良買気配数量1</stp>
        <tr r="BS139" s="1"/>
      </tp>
      <tp>
        <v>2</v>
        <stp/>
        <stp>Market</stp>
        <stp>FOP</stp>
        <stp>191365518</stp>
        <stp>最良買気配数量1</stp>
        <tr r="AY141" s="1"/>
      </tp>
      <tp>
        <v>5</v>
        <stp/>
        <stp>Market</stp>
        <stp>FOP</stp>
        <stp>181365018</stp>
        <stp>最良買気配数量1</stp>
        <tr r="BS140" s="1"/>
      </tp>
      <tp>
        <v>4</v>
        <stp/>
        <stp>Market</stp>
        <stp>FOP</stp>
        <stp>181365518</stp>
        <stp>最良買気配数量1</stp>
        <tr r="BS141" s="1"/>
      </tp>
      <tp>
        <v>34</v>
        <stp/>
        <stp>Market</stp>
        <stp>FOP</stp>
        <stp>181366018</stp>
        <stp>最良買気配数量1</stp>
        <tr r="BS142" s="1"/>
      </tp>
      <tp>
        <v>4</v>
        <stp/>
        <stp>Market</stp>
        <stp>FOP</stp>
        <stp>191367018</stp>
        <stp>最良買気配数量1</stp>
        <tr r="AY144" s="1"/>
      </tp>
      <tp>
        <v>3</v>
        <stp/>
        <stp>Market</stp>
        <stp>FOP</stp>
        <stp>181366518</stp>
        <stp>最良買気配数量1</stp>
        <tr r="BS143" s="1"/>
      </tp>
      <tp>
        <v>8</v>
        <stp/>
        <stp>Market</stp>
        <stp>FOP</stp>
        <stp>191367518</stp>
        <stp>最良買気配数量1</stp>
        <tr r="AY165" s="1"/>
      </tp>
      <tp>
        <v>4</v>
        <stp/>
        <stp>Market</stp>
        <stp>FOP</stp>
        <stp>181367018</stp>
        <stp>最良買気配数量1</stp>
        <tr r="BS144" s="1"/>
      </tp>
      <tp>
        <v>4</v>
        <stp/>
        <stp>Market</stp>
        <stp>FOP</stp>
        <stp>191366018</stp>
        <stp>最良買気配数量1</stp>
        <tr r="AY142" s="1"/>
      </tp>
      <tp>
        <v>3</v>
        <stp/>
        <stp>Market</stp>
        <stp>FOP</stp>
        <stp>191366518</stp>
        <stp>最良買気配数量1</stp>
        <tr r="AY143" s="1"/>
      </tp>
      <tp>
        <v>21</v>
        <stp/>
        <stp>Market</stp>
        <stp>FOP</stp>
        <stp>181360018</stp>
        <stp>最良買気配数量1</stp>
        <tr r="BS150" s="1"/>
      </tp>
      <tp>
        <v>4</v>
        <stp/>
        <stp>Market</stp>
        <stp>FOP</stp>
        <stp>191361018</stp>
        <stp>最良買気配数量1</stp>
        <tr r="AY152" s="1"/>
      </tp>
      <tp>
        <v>3</v>
        <stp/>
        <stp>Market</stp>
        <stp>FOP</stp>
        <stp>181360518</stp>
        <stp>最良買気配数量1</stp>
        <tr r="BS151" s="1"/>
      </tp>
      <tp>
        <v>4</v>
        <stp/>
        <stp>Market</stp>
        <stp>FOP</stp>
        <stp>191361518</stp>
        <stp>最良買気配数量1</stp>
        <tr r="AY153" s="1"/>
      </tp>
      <tp>
        <v>12</v>
        <stp/>
        <stp>Market</stp>
        <stp>FOP</stp>
        <stp>181361018</stp>
        <stp>最良買気配数量1</stp>
        <tr r="BS152" s="1"/>
      </tp>
      <tp>
        <v>4</v>
        <stp/>
        <stp>Market</stp>
        <stp>FOP</stp>
        <stp>191360018</stp>
        <stp>最良買気配数量1</stp>
        <tr r="AY150" s="1"/>
      </tp>
      <tp>
        <v>3</v>
        <stp/>
        <stp>Market</stp>
        <stp>FOP</stp>
        <stp>191360518</stp>
        <stp>最良買気配数量1</stp>
        <tr r="AY151" s="1"/>
      </tp>
      <tp>
        <v>11</v>
        <stp/>
        <stp>Market</stp>
        <stp>FOP</stp>
        <stp>131369018</stp>
        <stp>最良買気配数量1</stp>
        <tr r="BS128" s="1"/>
      </tp>
      <tp>
        <v>2</v>
        <stp/>
        <stp>Market</stp>
        <stp>FOP</stp>
        <stp>131369518</stp>
        <stp>最良買気配数量1</stp>
        <tr r="BS129" s="1"/>
      </tp>
      <tp>
        <v>1</v>
        <stp/>
        <stp>Market</stp>
        <stp>FOP</stp>
        <stp>181362518</stp>
        <stp>最良買気配数量1</stp>
        <tr r="BS115" s="1"/>
      </tp>
      <tp>
        <v>2</v>
        <stp/>
        <stp>Market</stp>
        <stp>FOP</stp>
        <stp>131368018</stp>
        <stp>最良買気配数量1</stp>
        <tr r="BS126" s="1"/>
      </tp>
      <tp>
        <v>2</v>
        <stp/>
        <stp>Market</stp>
        <stp>FOP</stp>
        <stp>181363018</stp>
        <stp>最良買気配数量1</stp>
        <tr r="BS136" s="1"/>
      </tp>
      <tp>
        <v>5</v>
        <stp/>
        <stp>Market</stp>
        <stp>FOP</stp>
        <stp>191362018</stp>
        <stp>最良買気配数量1</stp>
        <tr r="AY154" s="1"/>
      </tp>
      <tp>
        <v>8</v>
        <stp/>
        <stp>Market</stp>
        <stp>FOP</stp>
        <stp>131368518</stp>
        <stp>最良買気配数量1</stp>
        <tr r="BS127" s="1"/>
      </tp>
      <tp>
        <v>4</v>
        <stp/>
        <stp>Market</stp>
        <stp>FOP</stp>
        <stp>181363518</stp>
        <stp>最良買気配数量1</stp>
        <tr r="BS137" s="1"/>
      </tp>
    </main>
    <main first="rtdsrv.48cf1ad348244608b72d359ebfbe4e5c">
      <tp>
        <v>12</v>
        <stp/>
        <stp>Market</stp>
        <stp>FOP</stp>
        <stp>131237018</stp>
        <stp>最良買気配数量1</stp>
        <tr r="BS34" s="1"/>
      </tp>
      <tp>
        <v>4</v>
        <stp/>
        <stp>Market</stp>
        <stp>FOP</stp>
        <stp>141230518</stp>
        <stp>最良買気配数量1</stp>
        <tr r="AY61" s="1"/>
      </tp>
      <tp>
        <v>12</v>
        <stp/>
        <stp>Market</stp>
        <stp>FOP</stp>
        <stp>131236018</stp>
        <stp>最良買気配数量1</stp>
        <tr r="BS32" s="1"/>
      </tp>
      <tp>
        <v>26</v>
        <stp/>
        <stp>Market</stp>
        <stp>FOP</stp>
        <stp>131236518</stp>
        <stp>最良買気配数量1</stp>
        <tr r="BS53" s="1"/>
      </tp>
      <tp>
        <v>6</v>
        <stp/>
        <stp>Market</stp>
        <stp>FOP</stp>
        <stp>141231518</stp>
        <stp>最良買気配数量1</stp>
        <tr r="AY63" s="1"/>
      </tp>
      <tp>
        <v>35</v>
        <stp/>
        <stp>Market</stp>
        <stp>FOP</stp>
        <stp>131235018</stp>
        <stp>最良買気配数量1</stp>
        <tr r="BS50" s="1"/>
      </tp>
      <tp>
        <v>28</v>
        <stp/>
        <stp>Market</stp>
        <stp>FOP</stp>
        <stp>131235518</stp>
        <stp>最良買気配数量1</stp>
        <tr r="BS51" s="1"/>
      </tp>
      <tp>
        <v>4</v>
        <stp/>
        <stp>Market</stp>
        <stp>FOP</stp>
        <stp>131234018</stp>
        <stp>最良買気配数量1</stp>
        <tr r="BS48" s="1"/>
      </tp>
      <tp>
        <v>4</v>
        <stp/>
        <stp>Market</stp>
        <stp>FOP</stp>
        <stp>131234518</stp>
        <stp>最良買気配数量1</stp>
        <tr r="BS49" s="1"/>
      </tp>
      <tp>
        <v>7</v>
        <stp/>
        <stp>Market</stp>
        <stp>FOP</stp>
        <stp>141233518</stp>
        <stp>最良買気配数量1</stp>
        <tr r="AY67" s="1"/>
      </tp>
      <tp>
        <v>10</v>
        <stp/>
        <stp>Market</stp>
        <stp>FOP</stp>
        <stp>131233018</stp>
        <stp>最良買気配数量1</stp>
        <tr r="BS46" s="1"/>
      </tp>
      <tp>
        <v>1</v>
        <stp/>
        <stp>Market</stp>
        <stp>FOP</stp>
        <stp>191239518</stp>
        <stp>最良買気配数量1</stp>
        <tr r="AY79" s="1"/>
      </tp>
      <tp>
        <v>4</v>
        <stp/>
        <stp>Market</stp>
        <stp>FOP</stp>
        <stp>131232018</stp>
        <stp>最良買気配数量1</stp>
        <tr r="BS44" s="1"/>
      </tp>
      <tp>
        <v>20</v>
        <stp/>
        <stp>Market</stp>
        <stp>FOP</stp>
        <stp>141235018</stp>
        <stp>最良買気配数量1</stp>
        <tr r="AY50" s="1"/>
      </tp>
      <tp>
        <v>4</v>
        <stp/>
        <stp>Market</stp>
        <stp>FOP</stp>
        <stp>131232518</stp>
        <stp>最良買気配数量1</stp>
        <tr r="BS45" s="1"/>
      </tp>
      <tp>
        <v>12</v>
        <stp/>
        <stp>Market</stp>
        <stp>FOP</stp>
        <stp>141235518</stp>
        <stp>最良買気配数量1</stp>
        <tr r="AY51" s="1"/>
      </tp>
      <tp>
        <v>8</v>
        <stp/>
        <stp>Market</stp>
        <stp>FOP</stp>
        <stp>191238518</stp>
        <stp>最良買気配数量1</stp>
        <tr r="AY77" s="1"/>
      </tp>
      <tp>
        <v>9</v>
        <stp/>
        <stp>Market</stp>
        <stp>FOP</stp>
        <stp>131231018</stp>
        <stp>最良買気配数量1</stp>
        <tr r="BS42" s="1"/>
      </tp>
      <tp>
        <v>12</v>
        <stp/>
        <stp>Market</stp>
        <stp>FOP</stp>
        <stp>141236518</stp>
        <stp>最良買気配数量1</stp>
        <tr r="AY53" s="1"/>
      </tp>
      <tp>
        <v>14</v>
        <stp/>
        <stp>Market</stp>
        <stp>FOP</stp>
        <stp>131230018</stp>
        <stp>最良買気配数量1</stp>
        <tr r="BS40" s="1"/>
      </tp>
      <tp>
        <v>19</v>
        <stp/>
        <stp>Market</stp>
        <stp>FOP</stp>
        <stp>131230518</stp>
        <stp>最良買気配数量1</stp>
        <tr r="BS61" s="1"/>
      </tp>
      <tp>
        <v>1</v>
        <stp/>
        <stp>Market</stp>
        <stp>FOP</stp>
        <stp>141237518</stp>
        <stp>最良買気配数量1</stp>
        <tr r="AY75" s="1"/>
      </tp>
      <tp>
        <v>12</v>
        <stp/>
        <stp>Market</stp>
        <stp>FOP</stp>
        <stp>141238518</stp>
        <stp>最良買気配数量1</stp>
        <tr r="AY57" s="1"/>
      </tp>
      <tp>
        <v>14</v>
        <stp/>
        <stp>Market</stp>
        <stp>FOP</stp>
        <stp>191235518</stp>
        <stp>最良買気配数量1</stp>
        <tr r="AY71" s="1"/>
      </tp>
      <tp>
        <v>4</v>
        <stp/>
        <stp>Market</stp>
        <stp>FOP</stp>
        <stp>141239518</stp>
        <stp>最良買気配数量1</stp>
        <tr r="AY59" s="1"/>
      </tp>
      <tp>
        <v>25</v>
        <stp/>
        <stp>Market</stp>
        <stp>FOP</stp>
        <stp>191234518</stp>
        <stp>最良買気配数量1</stp>
        <tr r="AY69" s="1"/>
      </tp>
      <tp>
        <v>32</v>
        <stp/>
        <stp>Market</stp>
        <stp>FOP</stp>
        <stp>181236018</stp>
        <stp>最良買気配数量1</stp>
        <tr r="BS52" s="1"/>
      </tp>
      <tp>
        <v>19</v>
        <stp/>
        <stp>Market</stp>
        <stp>FOP</stp>
        <stp>191237518</stp>
        <stp>最良買気配数量1</stp>
        <tr r="AY55" s="1"/>
      </tp>
      <tp>
        <v>27</v>
        <stp/>
        <stp>Market</stp>
        <stp>FOP</stp>
        <stp>191236018</stp>
        <stp>最良買気配数量1</stp>
        <tr r="AY52" s="1"/>
      </tp>
      <tp>
        <v>12</v>
        <stp/>
        <stp>Market</stp>
        <stp>FOP</stp>
        <stp>181237518</stp>
        <stp>最良買気配数量1</stp>
        <tr r="BS55" s="1"/>
      </tp>
      <tp>
        <v>8</v>
        <stp/>
        <stp>Market</stp>
        <stp>FOP</stp>
        <stp>191236518</stp>
        <stp>最良買気配数量1</stp>
        <tr r="AY73" s="1"/>
      </tp>
      <tp>
        <v>17</v>
        <stp/>
        <stp>Market</stp>
        <stp>FOP</stp>
        <stp>131239018</stp>
        <stp>最良買気配数量1</stp>
        <tr r="BS38" s="1"/>
      </tp>
      <tp>
        <v>19</v>
        <stp/>
        <stp>Market</stp>
        <stp>FOP</stp>
        <stp>131239518</stp>
        <stp>最良買気配数量1</stp>
        <tr r="BS59" s="1"/>
      </tp>
      <tp>
        <v>41</v>
        <stp/>
        <stp>Market</stp>
        <stp>FOP</stp>
        <stp>131238018</stp>
        <stp>最良買気配数量1</stp>
        <tr r="BS36" s="1"/>
      </tp>
      <tp>
        <v>14</v>
        <stp/>
        <stp>Market</stp>
        <stp>FOP</stp>
        <stp>131238518</stp>
        <stp>最良買気配数量1</stp>
        <tr r="BS57" s="1"/>
      </tp>
      <tp>
        <v>23</v>
        <stp/>
        <stp>Market</stp>
        <stp>FOP</stp>
        <stp>191232518</stp>
        <stp>最良買気配数量1</stp>
        <tr r="AY85" s="1"/>
      </tp>
      <tp>
        <v>1</v>
        <stp/>
        <stp>Market</stp>
        <stp>FOP</stp>
        <stp>181248018</stp>
        <stp>最良買気配数量1</stp>
        <tr r="BS106" s="1"/>
      </tp>
      <tp>
        <v>1</v>
        <stp/>
        <stp>Market</stp>
        <stp>FOP</stp>
        <stp>181248518</stp>
        <stp>最良買気配数量1</stp>
        <tr r="BS107" s="1"/>
      </tp>
      <tp>
        <v>1</v>
        <stp/>
        <stp>Market</stp>
        <stp>FOP</stp>
        <stp>181249018</stp>
        <stp>最良買気配数量1</stp>
        <tr r="BS108" s="1"/>
      </tp>
      <tp>
        <v>1</v>
        <stp/>
        <stp>Market</stp>
        <stp>FOP</stp>
        <stp>181249518</stp>
        <stp>最良買気配数量1</stp>
        <tr r="BS109" s="1"/>
      </tp>
      <tp>
        <v>1</v>
        <stp/>
        <stp>Market</stp>
        <stp>FOP</stp>
        <stp>181246018</stp>
        <stp>最良買気配数量1</stp>
        <tr r="BS102" s="1"/>
      </tp>
      <tp>
        <v>1</v>
        <stp/>
        <stp>Market</stp>
        <stp>FOP</stp>
        <stp>181246518</stp>
        <stp>最良買気配数量1</stp>
        <tr r="BS103" s="1"/>
      </tp>
      <tp>
        <v>1</v>
        <stp/>
        <stp>Market</stp>
        <stp>FOP</stp>
        <stp>181247018</stp>
        <stp>最良買気配数量1</stp>
        <tr r="BS104" s="1"/>
      </tp>
      <tp>
        <v>1</v>
        <stp/>
        <stp>Market</stp>
        <stp>FOP</stp>
        <stp>181247518</stp>
        <stp>最良買気配数量1</stp>
        <tr r="BS105" s="1"/>
      </tp>
      <tp>
        <v>2</v>
        <stp/>
        <stp>Market</stp>
        <stp>FOP</stp>
        <stp>181240018</stp>
        <stp>最良買気配数量1</stp>
        <tr r="BS110" s="1"/>
      </tp>
      <tp>
        <v>1</v>
        <stp/>
        <stp>Market</stp>
        <stp>FOP</stp>
        <stp>181240518</stp>
        <stp>最良買気配数量1</stp>
        <tr r="BS111" s="1"/>
      </tp>
      <tp>
        <v>1</v>
        <stp/>
        <stp>Market</stp>
        <stp>FOP</stp>
        <stp>181241018</stp>
        <stp>最良買気配数量1</stp>
        <tr r="BS112" s="1"/>
      </tp>
      <tp>
        <v>1</v>
        <stp/>
        <stp>Market</stp>
        <stp>FOP</stp>
        <stp>181241518</stp>
        <stp>最良買気配数量1</stp>
        <tr r="BS113" s="1"/>
      </tp>
      <tp>
        <v>1</v>
        <stp/>
        <stp>Market</stp>
        <stp>FOP</stp>
        <stp>181242018</stp>
        <stp>最良買気配数量1</stp>
        <tr r="BS114" s="1"/>
      </tp>
      <tp>
        <v>6</v>
        <stp/>
        <stp>Market</stp>
        <stp>FOP</stp>
        <stp>181242518</stp>
        <stp>最良買気配数量1</stp>
        <tr r="BS135" s="1"/>
      </tp>
    </main>
    <main first="rtdsrv.48cf1ad348244608b72d359ebfbe4e5c">
      <tp t="s">
        <v>2026/11/12</v>
        <stp/>
        <stp>Market</stp>
        <stp>FOP</stp>
        <stp>161110019</stp>
        <stp>売買最終日</stp>
        <tr r="AU10" s="1"/>
      </tp>
    </main>
    <main first="rtdsrv.48cf1ad348244608b72d359ebfbe4e5c">
      <tp t="s">
        <v>2026/12/10</v>
        <stp/>
        <stp>Market</stp>
        <stp>FOP</stp>
        <stp>161120019</stp>
        <stp>売買最終日</stp>
        <tr r="AU11" s="1"/>
      </tp>
    </main>
    <main first="rtdsrv.48cf1ad348244608b72d359ebfbe4e5c">
      <tp t="s">
        <v>VIX指数</v>
        <stp/>
        <stp>Market</stp>
        <stp>INDEX</stp>
        <stp>VIX</stp>
        <stp>指標名称</stp>
        <tr r="AO9" s="1"/>
      </tp>
      <tp>
        <v>795</v>
        <stp/>
        <stp>Market</stp>
        <stp>FOP</stp>
        <stp>141351018</stp>
        <stp>安値</stp>
        <tr r="BE62" s="1"/>
      </tp>
      <tp>
        <v>0</v>
        <stp/>
        <stp>Market</stp>
        <stp>FOP</stp>
        <stp>131366018</stp>
        <stp>安値</stp>
        <tr r="BY122" s="1"/>
      </tp>
      <tp>
        <v>106</v>
        <stp/>
        <stp>Market</stp>
        <stp>FOP</stp>
        <stp>131236018</stp>
        <stp>安値</stp>
        <tr r="BY32" s="1"/>
      </tp>
      <tp>
        <v>0</v>
        <stp/>
        <stp>Market</stp>
        <stp>FOP</stp>
        <stp>141481018</stp>
        <stp>安値</stp>
        <tr r="BE172" s="1"/>
      </tp>
      <tp>
        <v>0</v>
        <stp/>
        <stp>Market</stp>
        <stp>FOP</stp>
        <stp>131366518</stp>
        <stp>安値</stp>
        <tr r="BY123" s="1"/>
      </tp>
      <tp>
        <v>1245</v>
        <stp/>
        <stp>Market</stp>
        <stp>FOP</stp>
        <stp>131236518</stp>
        <stp>安値</stp>
        <tr r="BY53" s="1"/>
      </tp>
      <tp>
        <v>660</v>
        <stp/>
        <stp>Market</stp>
        <stp>FOP</stp>
        <stp>141231518</stp>
        <stp>安値</stp>
        <tr r="BE63" s="1"/>
      </tp>
      <tp>
        <v>0</v>
        <stp/>
        <stp>Market</stp>
        <stp>FOP</stp>
        <stp>131116518</stp>
        <stp>安値</stp>
        <tr r="BY13" s="1"/>
      </tp>
      <tp>
        <v>380</v>
        <stp/>
        <stp>Market</stp>
        <stp>FOP</stp>
        <stp>141353018</stp>
        <stp>始値</stp>
        <tr r="BC66" s="1"/>
      </tp>
      <tp>
        <v>0</v>
        <stp/>
        <stp>Market</stp>
        <stp>FOP</stp>
        <stp>131364018</stp>
        <stp>始値</stp>
        <tr r="BW118" s="1"/>
      </tp>
      <tp>
        <v>610</v>
        <stp/>
        <stp>Market</stp>
        <stp>FOP</stp>
        <stp>131234018</stp>
        <stp>始値</stp>
        <tr r="BW48" s="1"/>
      </tp>
      <tp>
        <v>0</v>
        <stp/>
        <stp>Market</stp>
        <stp>FOP</stp>
        <stp>141483018</stp>
        <stp>始値</stp>
        <tr r="BC156" s="1"/>
      </tp>
      <tp>
        <v>0</v>
        <stp/>
        <stp>Market</stp>
        <stp>FOP</stp>
        <stp>131364518</stp>
        <stp>始値</stp>
        <tr r="BW119" s="1"/>
      </tp>
      <tp>
        <v>730</v>
        <stp/>
        <stp>Market</stp>
        <stp>FOP</stp>
        <stp>131234518</stp>
        <stp>始値</stp>
        <tr r="BW49" s="1"/>
      </tp>
      <tp>
        <v>305</v>
        <stp/>
        <stp>Market</stp>
        <stp>FOP</stp>
        <stp>141233518</stp>
        <stp>始値</stp>
        <tr r="BC67" s="1"/>
      </tp>
      <tp>
        <v>87</v>
        <stp/>
        <stp>Market</stp>
        <stp>FOP</stp>
        <stp>131114518</stp>
        <stp>始値</stp>
        <tr r="BW29" s="1"/>
      </tp>
      <tp>
        <v>0</v>
        <stp/>
        <stp>Market</stp>
        <stp>FOP</stp>
        <stp>141483518</stp>
        <stp>始値</stp>
        <tr r="BC157" s="1"/>
      </tp>
      <tp>
        <v>1360</v>
        <stp/>
        <stp>Market</stp>
        <stp>FOP</stp>
        <stp>131357018</stp>
        <stp>安値</stp>
        <tr r="BY54" s="1"/>
      </tp>
      <tp>
        <v>1055</v>
        <stp/>
        <stp>Market</stp>
        <stp>FOP</stp>
        <stp>141350018</stp>
        <stp>安値</stp>
        <tr r="BE60" s="1"/>
      </tp>
      <tp>
        <v>0</v>
        <stp/>
        <stp>Market</stp>
        <stp>FOP</stp>
        <stp>131367018</stp>
        <stp>安値</stp>
        <tr r="BY124" s="1"/>
      </tp>
      <tp>
        <v>130</v>
        <stp/>
        <stp>Market</stp>
        <stp>FOP</stp>
        <stp>131237018</stp>
        <stp>安値</stp>
        <tr r="BY34" s="1"/>
      </tp>
      <tp>
        <v>0</v>
        <stp/>
        <stp>Market</stp>
        <stp>FOP</stp>
        <stp>141470018</stp>
        <stp>安値</stp>
        <tr r="BE100" s="1"/>
      </tp>
      <tp>
        <v>121</v>
        <stp/>
        <stp>Market</stp>
        <stp>FOP</stp>
        <stp>141480018</stp>
        <stp>安値</stp>
        <tr r="BE170" s="1"/>
      </tp>
      <tp>
        <v>0</v>
        <stp/>
        <stp>Market</stp>
        <stp>FOP</stp>
        <stp>131367518</stp>
        <stp>安値</stp>
        <tr r="BY125" s="1"/>
      </tp>
      <tp>
        <v>900</v>
        <stp/>
        <stp>Market</stp>
        <stp>FOP</stp>
        <stp>141230518</stp>
        <stp>安値</stp>
        <tr r="BE61" s="1"/>
      </tp>
      <tp>
        <v>0</v>
        <stp/>
        <stp>Market</stp>
        <stp>FOP</stp>
        <stp>131117518</stp>
        <stp>安値</stp>
        <tr r="BY15" s="1"/>
      </tp>
      <tp>
        <v>0</v>
        <stp/>
        <stp>Market</stp>
        <stp>FOP</stp>
        <stp>131487518</stp>
        <stp>安値</stp>
        <tr r="BY145" s="1"/>
      </tp>
      <tp>
        <v>560</v>
        <stp/>
        <stp>Market</stp>
        <stp>FOP</stp>
        <stp>141352018</stp>
        <stp>始値</stp>
        <tr r="BC64" s="1"/>
      </tp>
      <tp>
        <v>0</v>
        <stp/>
        <stp>Market</stp>
        <stp>FOP</stp>
        <stp>131365018</stp>
        <stp>始値</stp>
        <tr r="BW120" s="1"/>
      </tp>
      <tp>
        <v>815</v>
        <stp/>
        <stp>Market</stp>
        <stp>FOP</stp>
        <stp>131235018</stp>
        <stp>始値</stp>
        <tr r="BW50" s="1"/>
      </tp>
      <tp>
        <v>68125</v>
        <stp/>
        <stp>Market</stp>
        <stp>FOP</stp>
        <stp>161110019</stp>
        <stp>始値</stp>
        <tr r="BC10" s="1"/>
      </tp>
      <tp>
        <v>68230</v>
        <stp/>
        <stp>Market</stp>
        <stp>FOP</stp>
        <stp>161120019</stp>
        <stp>始値</stp>
        <tr r="BC11" s="1"/>
      </tp>
      <tp>
        <v>0</v>
        <stp/>
        <stp>Market</stp>
        <stp>FOP</stp>
        <stp>141482018</stp>
        <stp>始値</stp>
        <tr r="BC174" s="1"/>
      </tp>
      <tp>
        <v>0</v>
        <stp/>
        <stp>Market</stp>
        <stp>FOP</stp>
        <stp>131365518</stp>
        <stp>始値</stp>
        <tr r="BW121" s="1"/>
      </tp>
      <tp>
        <v>0</v>
        <stp/>
        <stp>Market</stp>
        <stp>FOP</stp>
        <stp>131235518</stp>
        <stp>始値</stp>
        <tr r="BW51" s="1"/>
      </tp>
      <tp>
        <v>1085</v>
        <stp/>
        <stp>Market</stp>
        <stp>FOP</stp>
        <stp>141482518</stp>
        <stp>始値</stp>
        <tr r="BC155" s="1"/>
      </tp>
      <tp>
        <v>325</v>
        <stp/>
        <stp>Market</stp>
        <stp>FOP</stp>
        <stp>141353018</stp>
        <stp>安値</stp>
        <tr r="BE66" s="1"/>
      </tp>
      <tp>
        <v>0</v>
        <stp/>
        <stp>Market</stp>
        <stp>FOP</stp>
        <stp>131364018</stp>
        <stp>安値</stp>
        <tr r="BY118" s="1"/>
      </tp>
      <tp>
        <v>610</v>
        <stp/>
        <stp>Market</stp>
        <stp>FOP</stp>
        <stp>131234018</stp>
        <stp>安値</stp>
        <tr r="BY48" s="1"/>
      </tp>
      <tp>
        <v>0</v>
        <stp/>
        <stp>Market</stp>
        <stp>FOP</stp>
        <stp>141483018</stp>
        <stp>安値</stp>
        <tr r="BE156" s="1"/>
      </tp>
      <tp>
        <v>0</v>
        <stp/>
        <stp>Market</stp>
        <stp>FOP</stp>
        <stp>131364518</stp>
        <stp>安値</stp>
        <tr r="BY119" s="1"/>
      </tp>
      <tp>
        <v>730</v>
        <stp/>
        <stp>Market</stp>
        <stp>FOP</stp>
        <stp>131234518</stp>
        <stp>安値</stp>
        <tr r="BY49" s="1"/>
      </tp>
      <tp>
        <v>282</v>
        <stp/>
        <stp>Market</stp>
        <stp>FOP</stp>
        <stp>141233518</stp>
        <stp>安値</stp>
        <tr r="BE67" s="1"/>
      </tp>
      <tp>
        <v>87</v>
        <stp/>
        <stp>Market</stp>
        <stp>FOP</stp>
        <stp>131114518</stp>
        <stp>安値</stp>
        <tr r="BY29" s="1"/>
      </tp>
      <tp>
        <v>0</v>
        <stp/>
        <stp>Market</stp>
        <stp>FOP</stp>
        <stp>141483518</stp>
        <stp>安値</stp>
        <tr r="BE157" s="1"/>
      </tp>
      <tp>
        <v>825</v>
        <stp/>
        <stp>Market</stp>
        <stp>FOP</stp>
        <stp>141351018</stp>
        <stp>始値</stp>
        <tr r="BC62" s="1"/>
      </tp>
      <tp>
        <v>0</v>
        <stp/>
        <stp>Market</stp>
        <stp>FOP</stp>
        <stp>131366018</stp>
        <stp>始値</stp>
        <tr r="BW122" s="1"/>
      </tp>
      <tp>
        <v>113</v>
        <stp/>
        <stp>Market</stp>
        <stp>FOP</stp>
        <stp>131236018</stp>
        <stp>始値</stp>
        <tr r="BW32" s="1"/>
      </tp>
      <tp>
        <v>0</v>
        <stp/>
        <stp>Market</stp>
        <stp>FOP</stp>
        <stp>141481018</stp>
        <stp>始値</stp>
        <tr r="BC172" s="1"/>
      </tp>
      <tp>
        <v>0</v>
        <stp/>
        <stp>Market</stp>
        <stp>FOP</stp>
        <stp>131366518</stp>
        <stp>始値</stp>
        <tr r="BW123" s="1"/>
      </tp>
      <tp>
        <v>1245</v>
        <stp/>
        <stp>Market</stp>
        <stp>FOP</stp>
        <stp>131236518</stp>
        <stp>始値</stp>
        <tr r="BW53" s="1"/>
      </tp>
      <tp>
        <v>660</v>
        <stp/>
        <stp>Market</stp>
        <stp>FOP</stp>
        <stp>141231518</stp>
        <stp>始値</stp>
        <tr r="BC63" s="1"/>
      </tp>
      <tp>
        <v>0</v>
        <stp/>
        <stp>Market</stp>
        <stp>FOP</stp>
        <stp>131116518</stp>
        <stp>始値</stp>
        <tr r="BW13" s="1"/>
      </tp>
      <tp>
        <v>495</v>
        <stp/>
        <stp>Market</stp>
        <stp>FOP</stp>
        <stp>141352018</stp>
        <stp>安値</stp>
        <tr r="BE64" s="1"/>
      </tp>
      <tp>
        <v>0</v>
        <stp/>
        <stp>Market</stp>
        <stp>FOP</stp>
        <stp>131365018</stp>
        <stp>安値</stp>
        <tr r="BY120" s="1"/>
      </tp>
      <tp>
        <v>790</v>
        <stp/>
        <stp>Market</stp>
        <stp>FOP</stp>
        <stp>131235018</stp>
        <stp>安値</stp>
        <tr r="BY50" s="1"/>
      </tp>
      <tp>
        <v>67945</v>
        <stp/>
        <stp>Market</stp>
        <stp>FOP</stp>
        <stp>161110019</stp>
        <stp>安値</stp>
        <tr r="BE10" s="1"/>
      </tp>
      <tp>
        <v>68025</v>
        <stp/>
        <stp>Market</stp>
        <stp>FOP</stp>
        <stp>161120019</stp>
        <stp>安値</stp>
        <tr r="BE11" s="1"/>
      </tp>
      <tp>
        <v>0</v>
        <stp/>
        <stp>Market</stp>
        <stp>FOP</stp>
        <stp>141482018</stp>
        <stp>安値</stp>
        <tr r="BE174" s="1"/>
      </tp>
      <tp>
        <v>0</v>
        <stp/>
        <stp>Market</stp>
        <stp>FOP</stp>
        <stp>131365518</stp>
        <stp>安値</stp>
        <tr r="BY121" s="1"/>
      </tp>
      <tp>
        <v>0</v>
        <stp/>
        <stp>Market</stp>
        <stp>FOP</stp>
        <stp>131235518</stp>
        <stp>安値</stp>
        <tr r="BY51" s="1"/>
      </tp>
      <tp>
        <v>1085</v>
        <stp/>
        <stp>Market</stp>
        <stp>FOP</stp>
        <stp>141482518</stp>
        <stp>安値</stp>
        <tr r="BE155" s="1"/>
      </tp>
      <tp>
        <v>1420</v>
        <stp/>
        <stp>Market</stp>
        <stp>FOP</stp>
        <stp>131357018</stp>
        <stp>始値</stp>
        <tr r="BW54" s="1"/>
      </tp>
      <tp>
        <v>1150</v>
        <stp/>
        <stp>Market</stp>
        <stp>FOP</stp>
        <stp>141350018</stp>
        <stp>始値</stp>
        <tr r="BC60" s="1"/>
      </tp>
      <tp>
        <v>0</v>
        <stp/>
        <stp>Market</stp>
        <stp>FOP</stp>
        <stp>131367018</stp>
        <stp>始値</stp>
        <tr r="BW124" s="1"/>
      </tp>
      <tp>
        <v>131</v>
        <stp/>
        <stp>Market</stp>
        <stp>FOP</stp>
        <stp>131237018</stp>
        <stp>始値</stp>
        <tr r="BW34" s="1"/>
      </tp>
      <tp>
        <v>0</v>
        <stp/>
        <stp>Market</stp>
        <stp>FOP</stp>
        <stp>141470018</stp>
        <stp>始値</stp>
        <tr r="BC100" s="1"/>
      </tp>
      <tp>
        <v>128</v>
        <stp/>
        <stp>Market</stp>
        <stp>FOP</stp>
        <stp>141480018</stp>
        <stp>始値</stp>
        <tr r="BC170" s="1"/>
      </tp>
      <tp>
        <v>0</v>
        <stp/>
        <stp>Market</stp>
        <stp>FOP</stp>
        <stp>131367518</stp>
        <stp>始値</stp>
        <tr r="BW125" s="1"/>
      </tp>
      <tp>
        <v>965</v>
        <stp/>
        <stp>Market</stp>
        <stp>FOP</stp>
        <stp>141230518</stp>
        <stp>始値</stp>
        <tr r="BC61" s="1"/>
      </tp>
      <tp>
        <v>0</v>
        <stp/>
        <stp>Market</stp>
        <stp>FOP</stp>
        <stp>131117518</stp>
        <stp>始値</stp>
        <tr r="BW15" s="1"/>
      </tp>
      <tp>
        <v>0</v>
        <stp/>
        <stp>Market</stp>
        <stp>FOP</stp>
        <stp>131487518</stp>
        <stp>始値</stp>
        <tr r="BW145" s="1"/>
      </tp>
      <tp>
        <v>35</v>
        <stp/>
        <stp>Market</stp>
        <stp>FOP</stp>
        <stp>191358018</stp>
        <stp>安値</stp>
        <tr r="BE76" s="1"/>
      </tp>
      <tp>
        <v>0</v>
        <stp/>
        <stp>Market</stp>
        <stp>FOP</stp>
        <stp>131362018</stp>
        <stp>安値</stp>
        <tr r="BY134" s="1"/>
      </tp>
      <tp>
        <v>0</v>
        <stp/>
        <stp>Market</stp>
        <stp>FOP</stp>
        <stp>181369018</stp>
        <stp>安値</stp>
        <tr r="BY148" s="1"/>
      </tp>
      <tp>
        <v>0</v>
        <stp/>
        <stp>Market</stp>
        <stp>FOP</stp>
        <stp>191368018</stp>
        <stp>安値</stp>
        <tr r="BE146" s="1"/>
      </tp>
      <tp>
        <v>0</v>
        <stp/>
        <stp>Market</stp>
        <stp>FOP</stp>
        <stp>181249018</stp>
        <stp>安値</stp>
        <tr r="BY108" s="1"/>
      </tp>
      <tp>
        <v>360</v>
        <stp/>
        <stp>Market</stp>
        <stp>FOP</stp>
        <stp>131232018</stp>
        <stp>安値</stp>
        <tr r="BY44" s="1"/>
      </tp>
      <tp>
        <v>0</v>
        <stp/>
        <stp>Market</stp>
        <stp>FOP</stp>
        <stp>141235018</stp>
        <stp>安値</stp>
        <tr r="BE50" s="1"/>
      </tp>
      <tp>
        <v>38</v>
        <stp/>
        <stp>Market</stp>
        <stp>FOP</stp>
        <stp>181119018</stp>
        <stp>安値</stp>
        <tr r="BY18" s="1"/>
      </tp>
      <tp>
        <v>2</v>
        <stp/>
        <stp>Market</stp>
        <stp>FOP</stp>
        <stp>141475018</stp>
        <stp>安値</stp>
        <tr r="BE90" s="1"/>
      </tp>
      <tp>
        <v>0</v>
        <stp/>
        <stp>Market</stp>
        <stp>FOP</stp>
        <stp>141485018</stp>
        <stp>安値</stp>
        <tr r="BE160" s="1"/>
      </tp>
      <tp>
        <v>0</v>
        <stp/>
        <stp>Market</stp>
        <stp>FOP</stp>
        <stp>181369518</stp>
        <stp>安値</stp>
        <tr r="BY149" s="1"/>
      </tp>
      <tp>
        <v>0</v>
        <stp/>
        <stp>Market</stp>
        <stp>FOP</stp>
        <stp>191368518</stp>
        <stp>安値</stp>
        <tr r="BE147" s="1"/>
      </tp>
      <tp>
        <v>0</v>
        <stp/>
        <stp>Market</stp>
        <stp>FOP</stp>
        <stp>181249518</stp>
        <stp>安値</stp>
        <tr r="BY109" s="1"/>
      </tp>
      <tp>
        <v>0</v>
        <stp/>
        <stp>Market</stp>
        <stp>FOP</stp>
        <stp>131232518</stp>
        <stp>安値</stp>
        <tr r="BY45" s="1"/>
      </tp>
      <tp>
        <v>0</v>
        <stp/>
        <stp>Market</stp>
        <stp>FOP</stp>
        <stp>141235518</stp>
        <stp>安値</stp>
        <tr r="BE51" s="1"/>
      </tp>
      <tp>
        <v>33</v>
        <stp/>
        <stp>Market</stp>
        <stp>FOP</stp>
        <stp>191238518</stp>
        <stp>安値</stp>
        <tr r="BE77" s="1"/>
      </tp>
      <tp>
        <v>0</v>
        <stp/>
        <stp>Market</stp>
        <stp>FOP</stp>
        <stp>131112518</stp>
        <stp>安値</stp>
        <tr r="BY25" s="1"/>
      </tp>
      <tp>
        <v>0</v>
        <stp/>
        <stp>Market</stp>
        <stp>FOP</stp>
        <stp>181119518</stp>
        <stp>安値</stp>
        <tr r="BY39" s="1"/>
      </tp>
      <tp>
        <v>0</v>
        <stp/>
        <stp>Market</stp>
        <stp>FOP</stp>
        <stp>141485518</stp>
        <stp>安値</stp>
        <tr r="BE161" s="1"/>
      </tp>
      <tp>
        <v>0</v>
        <stp/>
        <stp>Market</stp>
        <stp>FOP</stp>
        <stp>131350018</stp>
        <stp>始値</stp>
        <tr r="BW60" s="1"/>
      </tp>
      <tp>
        <v>0</v>
        <stp/>
        <stp>Market</stp>
        <stp>FOP</stp>
        <stp>141357018</stp>
        <stp>始値</stp>
        <tr r="BC54" s="1"/>
      </tp>
      <tp>
        <v>0</v>
        <stp/>
        <stp>Market</stp>
        <stp>FOP</stp>
        <stp>131360018</stp>
        <stp>始値</stp>
        <tr r="BW130" s="1"/>
      </tp>
      <tp>
        <v>240</v>
        <stp/>
        <stp>Market</stp>
        <stp>FOP</stp>
        <stp>131230018</stp>
        <stp>始値</stp>
        <tr r="BW40" s="1"/>
      </tp>
      <tp>
        <v>290</v>
        <stp/>
        <stp>Market</stp>
        <stp>FOP</stp>
        <stp>141487018</stp>
        <stp>始値</stp>
        <tr r="BC164" s="1"/>
      </tp>
      <tp>
        <v>1</v>
        <stp/>
        <stp>Market</stp>
        <stp>FOP</stp>
        <stp>141357518</stp>
        <stp>始値</stp>
        <tr r="BC95" s="1"/>
      </tp>
      <tp>
        <v>0</v>
        <stp/>
        <stp>Market</stp>
        <stp>FOP</stp>
        <stp>131360518</stp>
        <stp>始値</stp>
        <tr r="BW131" s="1"/>
      </tp>
      <tp>
        <v>0</v>
        <stp/>
        <stp>Market</stp>
        <stp>FOP</stp>
        <stp>131230518</stp>
        <stp>始値</stp>
        <tr r="BW61" s="1"/>
      </tp>
      <tp>
        <v>50</v>
        <stp/>
        <stp>Market</stp>
        <stp>FOP</stp>
        <stp>141237518</stp>
        <stp>始値</stp>
        <tr r="BC75" s="1"/>
      </tp>
      <tp>
        <v>0</v>
        <stp/>
        <stp>Market</stp>
        <stp>FOP</stp>
        <stp>131110518</stp>
        <stp>始値</stp>
        <tr r="BW21" s="1"/>
      </tp>
      <tp>
        <v>0</v>
        <stp/>
        <stp>Market</stp>
        <stp>FOP</stp>
        <stp>141487518</stp>
        <stp>始値</stp>
        <tr r="BC145" s="1"/>
      </tp>
      <tp>
        <v>15.17</v>
        <stp/>
        <stp>Market</stp>
        <stp>INDEX</stp>
        <stp>VIX</stp>
        <stp>始値</stp>
        <tr r="BC9" s="1"/>
      </tp>
      <tp>
        <v>218</v>
        <stp/>
        <stp>Market</stp>
        <stp>FOP</stp>
        <stp>141354018</stp>
        <stp>安値</stp>
        <tr r="BE68" s="1"/>
      </tp>
      <tp>
        <v>22</v>
        <stp/>
        <stp>Market</stp>
        <stp>FOP</stp>
        <stp>191359018</stp>
        <stp>安値</stp>
        <tr r="BE78" s="1"/>
      </tp>
      <tp>
        <v>0</v>
        <stp/>
        <stp>Market</stp>
        <stp>FOP</stp>
        <stp>131363018</stp>
        <stp>安値</stp>
        <tr r="BY116" s="1"/>
      </tp>
      <tp>
        <v>0</v>
        <stp/>
        <stp>Market</stp>
        <stp>FOP</stp>
        <stp>181368018</stp>
        <stp>安値</stp>
        <tr r="BY146" s="1"/>
      </tp>
      <tp>
        <v>0</v>
        <stp/>
        <stp>Market</stp>
        <stp>FOP</stp>
        <stp>191369018</stp>
        <stp>安値</stp>
        <tr r="BE148" s="1"/>
      </tp>
      <tp>
        <v>96</v>
        <stp/>
        <stp>Market</stp>
        <stp>FOP</stp>
        <stp>181248018</stp>
        <stp>安値</stp>
        <tr r="BY106" s="1"/>
      </tp>
      <tp>
        <v>475</v>
        <stp/>
        <stp>Market</stp>
        <stp>FOP</stp>
        <stp>131233018</stp>
        <stp>安値</stp>
        <tr r="BY46" s="1"/>
      </tp>
      <tp>
        <v>32</v>
        <stp/>
        <stp>Market</stp>
        <stp>FOP</stp>
        <stp>181118018</stp>
        <stp>安値</stp>
        <tr r="BY16" s="1"/>
      </tp>
      <tp>
        <v>0</v>
        <stp/>
        <stp>Market</stp>
        <stp>FOP</stp>
        <stp>141484018</stp>
        <stp>安値</stp>
        <tr r="BE158" s="1"/>
      </tp>
      <tp>
        <v>0</v>
        <stp/>
        <stp>Market</stp>
        <stp>FOP</stp>
        <stp>131363518</stp>
        <stp>安値</stp>
        <tr r="BY117" s="1"/>
      </tp>
      <tp>
        <v>0</v>
        <stp/>
        <stp>Market</stp>
        <stp>FOP</stp>
        <stp>181368518</stp>
        <stp>安値</stp>
        <tr r="BY147" s="1"/>
      </tp>
      <tp>
        <v>0</v>
        <stp/>
        <stp>Market</stp>
        <stp>FOP</stp>
        <stp>191369518</stp>
        <stp>安値</stp>
        <tr r="BE149" s="1"/>
      </tp>
      <tp>
        <v>0</v>
        <stp/>
        <stp>Market</stp>
        <stp>FOP</stp>
        <stp>181248518</stp>
        <stp>安値</stp>
        <tr r="BY107" s="1"/>
      </tp>
      <tp>
        <v>18</v>
        <stp/>
        <stp>Market</stp>
        <stp>FOP</stp>
        <stp>191239518</stp>
        <stp>安値</stp>
        <tr r="BE79" s="1"/>
      </tp>
      <tp>
        <v>0</v>
        <stp/>
        <stp>Market</stp>
        <stp>FOP</stp>
        <stp>131113518</stp>
        <stp>安値</stp>
        <tr r="BY27" s="1"/>
      </tp>
      <tp>
        <v>173</v>
        <stp/>
        <stp>Market</stp>
        <stp>FOP</stp>
        <stp>181118518</stp>
        <stp>安値</stp>
        <tr r="BY37" s="1"/>
      </tp>
      <tp>
        <v>0</v>
        <stp/>
        <stp>Market</stp>
        <stp>FOP</stp>
        <stp>141484518</stp>
        <stp>安値</stp>
        <tr r="BE159" s="1"/>
      </tp>
      <tp>
        <v>29.15</v>
        <stp/>
        <stp>Market</stp>
        <stp>INDEX</stp>
        <stp>NVI</stp>
        <stp>始値</stp>
        <tr r="BC8" s="1"/>
      </tp>
      <tp>
        <v>0</v>
        <stp/>
        <stp>Market</stp>
        <stp>FOP</stp>
        <stp>131351018</stp>
        <stp>始値</stp>
        <tr r="BW62" s="1"/>
      </tp>
      <tp>
        <v>0</v>
        <stp/>
        <stp>Market</stp>
        <stp>FOP</stp>
        <stp>131361018</stp>
        <stp>始値</stp>
        <tr r="BW132" s="1"/>
      </tp>
      <tp>
        <v>295</v>
        <stp/>
        <stp>Market</stp>
        <stp>FOP</stp>
        <stp>131231018</stp>
        <stp>始値</stp>
        <tr r="BW42" s="1"/>
      </tp>
      <tp>
        <v>0</v>
        <stp/>
        <stp>Market</stp>
        <stp>FOP</stp>
        <stp>141486018</stp>
        <stp>始値</stp>
        <tr r="BC162" s="1"/>
      </tp>
      <tp>
        <v>0</v>
        <stp/>
        <stp>Market</stp>
        <stp>FOP</stp>
        <stp>131361518</stp>
        <stp>始値</stp>
        <tr r="BW133" s="1"/>
      </tp>
      <tp>
        <v>0</v>
        <stp/>
        <stp>Market</stp>
        <stp>FOP</stp>
        <stp>141236518</stp>
        <stp>始値</stp>
        <tr r="BC53" s="1"/>
      </tp>
      <tp>
        <v>0</v>
        <stp/>
        <stp>Market</stp>
        <stp>FOP</stp>
        <stp>131111518</stp>
        <stp>始値</stp>
        <tr r="BW23" s="1"/>
      </tp>
    </main>
    <main first="rtdsrv.48cf1ad348244608b72d359ebfbe4e5c">
      <tp>
        <v>0</v>
        <stp/>
        <stp>Market</stp>
        <stp>FOP</stp>
        <stp>131350018</stp>
        <stp>安値</stp>
        <tr r="BY60" s="1"/>
      </tp>
      <tp>
        <v>0</v>
        <stp/>
        <stp>Market</stp>
        <stp>FOP</stp>
        <stp>141357018</stp>
        <stp>安値</stp>
        <tr r="BE54" s="1"/>
      </tp>
      <tp>
        <v>0</v>
        <stp/>
        <stp>Market</stp>
        <stp>FOP</stp>
        <stp>131360018</stp>
        <stp>安値</stp>
        <tr r="BY130" s="1"/>
      </tp>
      <tp>
        <v>227</v>
        <stp/>
        <stp>Market</stp>
        <stp>FOP</stp>
        <stp>131230018</stp>
        <stp>安値</stp>
        <tr r="BY40" s="1"/>
      </tp>
      <tp>
        <v>290</v>
        <stp/>
        <stp>Market</stp>
        <stp>FOP</stp>
        <stp>141487018</stp>
        <stp>安値</stp>
        <tr r="BE164" s="1"/>
      </tp>
      <tp>
        <v>1</v>
        <stp/>
        <stp>Market</stp>
        <stp>FOP</stp>
        <stp>141357518</stp>
        <stp>安値</stp>
        <tr r="BE95" s="1"/>
      </tp>
      <tp>
        <v>0</v>
        <stp/>
        <stp>Market</stp>
        <stp>FOP</stp>
        <stp>131360518</stp>
        <stp>安値</stp>
        <tr r="BY131" s="1"/>
      </tp>
      <tp>
        <v>0</v>
        <stp/>
        <stp>Market</stp>
        <stp>FOP</stp>
        <stp>131230518</stp>
        <stp>安値</stp>
        <tr r="BY61" s="1"/>
      </tp>
      <tp>
        <v>45</v>
        <stp/>
        <stp>Market</stp>
        <stp>FOP</stp>
        <stp>141237518</stp>
        <stp>安値</stp>
        <tr r="BE75" s="1"/>
      </tp>
      <tp>
        <v>0</v>
        <stp/>
        <stp>Market</stp>
        <stp>FOP</stp>
        <stp>131110518</stp>
        <stp>安値</stp>
        <tr r="BY21" s="1"/>
      </tp>
      <tp>
        <v>0</v>
        <stp/>
        <stp>Market</stp>
        <stp>FOP</stp>
        <stp>141487518</stp>
        <stp>安値</stp>
        <tr r="BE145" s="1"/>
      </tp>
      <tp>
        <v>38</v>
        <stp/>
        <stp>Market</stp>
        <stp>FOP</stp>
        <stp>191358018</stp>
        <stp>始値</stp>
        <tr r="BC76" s="1"/>
      </tp>
      <tp>
        <v>0</v>
        <stp/>
        <stp>Market</stp>
        <stp>FOP</stp>
        <stp>131362018</stp>
        <stp>始値</stp>
        <tr r="BW134" s="1"/>
      </tp>
      <tp>
        <v>0</v>
        <stp/>
        <stp>Market</stp>
        <stp>FOP</stp>
        <stp>181369018</stp>
        <stp>始値</stp>
        <tr r="BW148" s="1"/>
      </tp>
      <tp>
        <v>0</v>
        <stp/>
        <stp>Market</stp>
        <stp>FOP</stp>
        <stp>191368018</stp>
        <stp>始値</stp>
        <tr r="BC146" s="1"/>
      </tp>
      <tp>
        <v>0</v>
        <stp/>
        <stp>Market</stp>
        <stp>FOP</stp>
        <stp>181249018</stp>
        <stp>始値</stp>
        <tr r="BW108" s="1"/>
      </tp>
      <tp>
        <v>360</v>
        <stp/>
        <stp>Market</stp>
        <stp>FOP</stp>
        <stp>131232018</stp>
        <stp>始値</stp>
        <tr r="BW44" s="1"/>
      </tp>
      <tp>
        <v>0</v>
        <stp/>
        <stp>Market</stp>
        <stp>FOP</stp>
        <stp>141235018</stp>
        <stp>始値</stp>
        <tr r="BC50" s="1"/>
      </tp>
      <tp>
        <v>38</v>
        <stp/>
        <stp>Market</stp>
        <stp>FOP</stp>
        <stp>181119018</stp>
        <stp>始値</stp>
        <tr r="BW18" s="1"/>
      </tp>
      <tp>
        <v>2</v>
        <stp/>
        <stp>Market</stp>
        <stp>FOP</stp>
        <stp>141475018</stp>
        <stp>始値</stp>
        <tr r="BC90" s="1"/>
      </tp>
      <tp>
        <v>0</v>
        <stp/>
        <stp>Market</stp>
        <stp>FOP</stp>
        <stp>141485018</stp>
        <stp>始値</stp>
        <tr r="BC160" s="1"/>
      </tp>
      <tp>
        <v>0</v>
        <stp/>
        <stp>Market</stp>
        <stp>FOP</stp>
        <stp>181369518</stp>
        <stp>始値</stp>
        <tr r="BW149" s="1"/>
      </tp>
      <tp>
        <v>0</v>
        <stp/>
        <stp>Market</stp>
        <stp>FOP</stp>
        <stp>191368518</stp>
        <stp>始値</stp>
        <tr r="BC147" s="1"/>
      </tp>
      <tp>
        <v>0</v>
        <stp/>
        <stp>Market</stp>
        <stp>FOP</stp>
        <stp>181249518</stp>
        <stp>始値</stp>
        <tr r="BW109" s="1"/>
      </tp>
      <tp>
        <v>0</v>
        <stp/>
        <stp>Market</stp>
        <stp>FOP</stp>
        <stp>131232518</stp>
        <stp>始値</stp>
        <tr r="BW45" s="1"/>
      </tp>
      <tp>
        <v>0</v>
        <stp/>
        <stp>Market</stp>
        <stp>FOP</stp>
        <stp>141235518</stp>
        <stp>始値</stp>
        <tr r="BC51" s="1"/>
      </tp>
      <tp>
        <v>33</v>
        <stp/>
        <stp>Market</stp>
        <stp>FOP</stp>
        <stp>191238518</stp>
        <stp>始値</stp>
        <tr r="BC77" s="1"/>
      </tp>
      <tp>
        <v>0</v>
        <stp/>
        <stp>Market</stp>
        <stp>FOP</stp>
        <stp>131112518</stp>
        <stp>始値</stp>
        <tr r="BW25" s="1"/>
      </tp>
      <tp>
        <v>0</v>
        <stp/>
        <stp>Market</stp>
        <stp>FOP</stp>
        <stp>181119518</stp>
        <stp>始値</stp>
        <tr r="BW39" s="1"/>
      </tp>
      <tp>
        <v>0</v>
        <stp/>
        <stp>Market</stp>
        <stp>FOP</stp>
        <stp>141485518</stp>
        <stp>始値</stp>
        <tr r="BC161" s="1"/>
      </tp>
      <tp>
        <v>0</v>
        <stp/>
        <stp>Market</stp>
        <stp>FOP</stp>
        <stp>131351018</stp>
        <stp>安値</stp>
        <tr r="BY62" s="1"/>
      </tp>
      <tp>
        <v>0</v>
        <stp/>
        <stp>Market</stp>
        <stp>FOP</stp>
        <stp>131361018</stp>
        <stp>安値</stp>
        <tr r="BY132" s="1"/>
      </tp>
      <tp>
        <v>288</v>
        <stp/>
        <stp>Market</stp>
        <stp>FOP</stp>
        <stp>131231018</stp>
        <stp>安値</stp>
        <tr r="BY42" s="1"/>
      </tp>
      <tp>
        <v>0</v>
        <stp/>
        <stp>Market</stp>
        <stp>FOP</stp>
        <stp>141486018</stp>
        <stp>安値</stp>
        <tr r="BE162" s="1"/>
      </tp>
      <tp>
        <v>0</v>
        <stp/>
        <stp>Market</stp>
        <stp>FOP</stp>
        <stp>131361518</stp>
        <stp>安値</stp>
        <tr r="BY133" s="1"/>
      </tp>
      <tp>
        <v>0</v>
        <stp/>
        <stp>Market</stp>
        <stp>FOP</stp>
        <stp>141236518</stp>
        <stp>安値</stp>
        <tr r="BE53" s="1"/>
      </tp>
      <tp>
        <v>0</v>
        <stp/>
        <stp>Market</stp>
        <stp>FOP</stp>
        <stp>131111518</stp>
        <stp>安値</stp>
        <tr r="BY23" s="1"/>
      </tp>
      <tp>
        <v>15.16</v>
        <stp/>
        <stp>Market</stp>
        <stp>INDEX</stp>
        <stp>VIX</stp>
        <stp>安値</stp>
        <tr r="BE9" s="1"/>
      </tp>
      <tp>
        <v>244</v>
        <stp/>
        <stp>Market</stp>
        <stp>FOP</stp>
        <stp>141354018</stp>
        <stp>始値</stp>
        <tr r="BC68" s="1"/>
      </tp>
      <tp>
        <v>25</v>
        <stp/>
        <stp>Market</stp>
        <stp>FOP</stp>
        <stp>191359018</stp>
        <stp>始値</stp>
        <tr r="BC78" s="1"/>
      </tp>
      <tp>
        <v>0</v>
        <stp/>
        <stp>Market</stp>
        <stp>FOP</stp>
        <stp>131363018</stp>
        <stp>始値</stp>
        <tr r="BW116" s="1"/>
      </tp>
      <tp>
        <v>0</v>
        <stp/>
        <stp>Market</stp>
        <stp>FOP</stp>
        <stp>181368018</stp>
        <stp>始値</stp>
        <tr r="BW146" s="1"/>
      </tp>
      <tp>
        <v>0</v>
        <stp/>
        <stp>Market</stp>
        <stp>FOP</stp>
        <stp>191369018</stp>
        <stp>始値</stp>
        <tr r="BC148" s="1"/>
      </tp>
      <tp>
        <v>96</v>
        <stp/>
        <stp>Market</stp>
        <stp>FOP</stp>
        <stp>181248018</stp>
        <stp>始値</stp>
        <tr r="BW106" s="1"/>
      </tp>
      <tp>
        <v>480</v>
        <stp/>
        <stp>Market</stp>
        <stp>FOP</stp>
        <stp>131233018</stp>
        <stp>始値</stp>
        <tr r="BW46" s="1"/>
      </tp>
      <tp>
        <v>32</v>
        <stp/>
        <stp>Market</stp>
        <stp>FOP</stp>
        <stp>181118018</stp>
        <stp>始値</stp>
        <tr r="BW16" s="1"/>
      </tp>
      <tp>
        <v>0</v>
        <stp/>
        <stp>Market</stp>
        <stp>FOP</stp>
        <stp>141484018</stp>
        <stp>始値</stp>
        <tr r="BC158" s="1"/>
      </tp>
      <tp>
        <v>0</v>
        <stp/>
        <stp>Market</stp>
        <stp>FOP</stp>
        <stp>131363518</stp>
        <stp>始値</stp>
        <tr r="BW117" s="1"/>
      </tp>
      <tp>
        <v>0</v>
        <stp/>
        <stp>Market</stp>
        <stp>FOP</stp>
        <stp>181368518</stp>
        <stp>始値</stp>
        <tr r="BW147" s="1"/>
      </tp>
      <tp>
        <v>0</v>
        <stp/>
        <stp>Market</stp>
        <stp>FOP</stp>
        <stp>191369518</stp>
        <stp>始値</stp>
        <tr r="BC149" s="1"/>
      </tp>
      <tp>
        <v>0</v>
        <stp/>
        <stp>Market</stp>
        <stp>FOP</stp>
        <stp>181248518</stp>
        <stp>始値</stp>
        <tr r="BW107" s="1"/>
      </tp>
      <tp>
        <v>20</v>
        <stp/>
        <stp>Market</stp>
        <stp>FOP</stp>
        <stp>191239518</stp>
        <stp>始値</stp>
        <tr r="BC79" s="1"/>
      </tp>
      <tp>
        <v>0</v>
        <stp/>
        <stp>Market</stp>
        <stp>FOP</stp>
        <stp>131113518</stp>
        <stp>始値</stp>
        <tr r="BW27" s="1"/>
      </tp>
      <tp>
        <v>173</v>
        <stp/>
        <stp>Market</stp>
        <stp>FOP</stp>
        <stp>181118518</stp>
        <stp>始値</stp>
        <tr r="BW37" s="1"/>
      </tp>
      <tp>
        <v>0</v>
        <stp/>
        <stp>Market</stp>
        <stp>FOP</stp>
        <stp>141484518</stp>
        <stp>始値</stp>
        <tr r="BC159" s="1"/>
      </tp>
      <tp>
        <v>27.2</v>
        <stp/>
        <stp>Market</stp>
        <stp>INDEX</stp>
        <stp>NVI</stp>
        <stp>安値</stp>
        <tr r="BE8" s="1"/>
      </tp>
      <tp>
        <v>1410</v>
        <stp/>
        <stp>Market</stp>
        <stp>FOP</stp>
        <stp>141359018</stp>
        <stp>安値</stp>
        <tr r="BE58" s="1"/>
      </tp>
      <tp>
        <v>0</v>
        <stp/>
        <stp>Market</stp>
        <stp>FOP</stp>
        <stp>181365018</stp>
        <stp>安値</stp>
        <tr r="BY140" s="1"/>
      </tp>
      <tp>
        <v>90</v>
        <stp/>
        <stp>Market</stp>
        <stp>FOP</stp>
        <stp>181115018</stp>
        <stp>安値</stp>
        <tr r="BY30" s="1"/>
      </tp>
      <tp>
        <v>0</v>
        <stp/>
        <stp>Market</stp>
        <stp>FOP</stp>
        <stp>141489018</stp>
        <stp>安値</stp>
        <tr r="BE168" s="1"/>
      </tp>
      <tp>
        <v>0</v>
        <stp/>
        <stp>Market</stp>
        <stp>FOP</stp>
        <stp>191484018</stp>
        <stp>安値</stp>
        <tr r="BE178" s="1"/>
      </tp>
      <tp>
        <v>0</v>
        <stp/>
        <stp>Market</stp>
        <stp>FOP</stp>
        <stp>181365518</stp>
        <stp>安値</stp>
        <tr r="BY141" s="1"/>
      </tp>
      <tp>
        <v>0</v>
        <stp/>
        <stp>Market</stp>
        <stp>FOP</stp>
        <stp>141239518</stp>
        <stp>安値</stp>
        <tr r="BE59" s="1"/>
      </tp>
      <tp>
        <v>0</v>
        <stp/>
        <stp>Market</stp>
        <stp>FOP</stp>
        <stp>191234518</stp>
        <stp>安値</stp>
        <tr r="BE69" s="1"/>
      </tp>
      <tp>
        <v>0</v>
        <stp/>
        <stp>Market</stp>
        <stp>FOP</stp>
        <stp>181115518</stp>
        <stp>安値</stp>
        <tr r="BY31" s="1"/>
      </tp>
      <tp>
        <v>103</v>
        <stp/>
        <stp>Market</stp>
        <stp>FOP</stp>
        <stp>191356018</stp>
        <stp>始値</stp>
        <tr r="BC72" s="1"/>
      </tp>
      <tp>
        <v>0</v>
        <stp/>
        <stp>Market</stp>
        <stp>FOP</stp>
        <stp>181367018</stp>
        <stp>始値</stp>
        <tr r="BW144" s="1"/>
      </tp>
      <tp>
        <v>0</v>
        <stp/>
        <stp>Market</stp>
        <stp>FOP</stp>
        <stp>191366018</stp>
        <stp>始値</stp>
        <tr r="BC142" s="1"/>
      </tp>
      <tp>
        <v>80</v>
        <stp/>
        <stp>Market</stp>
        <stp>FOP</stp>
        <stp>181247018</stp>
        <stp>始値</stp>
        <tr r="BW104" s="1"/>
      </tp>
      <tp>
        <v>0</v>
        <stp/>
        <stp>Market</stp>
        <stp>FOP</stp>
        <stp>191236018</stp>
        <stp>始値</stp>
        <tr r="BC52" s="1"/>
      </tp>
      <tp>
        <v>0</v>
        <stp/>
        <stp>Market</stp>
        <stp>FOP</stp>
        <stp>181117018</stp>
        <stp>始値</stp>
        <tr r="BW14" s="1"/>
      </tp>
      <tp>
        <v>0</v>
        <stp/>
        <stp>Market</stp>
        <stp>FOP</stp>
        <stp>191366518</stp>
        <stp>始値</stp>
        <tr r="BC143" s="1"/>
      </tp>
      <tp>
        <v>0</v>
        <stp/>
        <stp>Market</stp>
        <stp>FOP</stp>
        <stp>181247518</stp>
        <stp>始値</stp>
        <tr r="BW105" s="1"/>
      </tp>
      <tp>
        <v>0</v>
        <stp/>
        <stp>Market</stp>
        <stp>FOP</stp>
        <stp>181237518</stp>
        <stp>始値</stp>
        <tr r="BW55" s="1"/>
      </tp>
      <tp>
        <v>0</v>
        <stp/>
        <stp>Market</stp>
        <stp>FOP</stp>
        <stp>191236518</stp>
        <stp>始値</stp>
        <tr r="BC73" s="1"/>
      </tp>
      <tp>
        <v>0</v>
        <stp/>
        <stp>Market</stp>
        <stp>FOP</stp>
        <stp>181117518</stp>
        <stp>始値</stp>
        <tr r="BW35" s="1"/>
      </tp>
      <tp>
        <v>2020</v>
        <stp/>
        <stp>Market</stp>
        <stp>FOP</stp>
        <stp>141358018</stp>
        <stp>安値</stp>
        <tr r="BE56" s="1"/>
      </tp>
      <tp>
        <v>141</v>
        <stp/>
        <stp>Market</stp>
        <stp>FOP</stp>
        <stp>191355018</stp>
        <stp>安値</stp>
        <tr r="BE70" s="1"/>
      </tp>
      <tp>
        <v>0</v>
        <stp/>
        <stp>Market</stp>
        <stp>FOP</stp>
        <stp>181364018</stp>
        <stp>安値</stp>
        <tr r="BY138" s="1"/>
      </tp>
      <tp>
        <v>0</v>
        <stp/>
        <stp>Market</stp>
        <stp>FOP</stp>
        <stp>191365018</stp>
        <stp>安値</stp>
        <tr r="BE140" s="1"/>
      </tp>
      <tp>
        <v>80</v>
        <stp/>
        <stp>Market</stp>
        <stp>FOP</stp>
        <stp>181114018</stp>
        <stp>安値</stp>
        <tr r="BY28" s="1"/>
      </tp>
      <tp>
        <v>0</v>
        <stp/>
        <stp>Market</stp>
        <stp>FOP</stp>
        <stp>141488018</stp>
        <stp>安値</stp>
        <tr r="BE166" s="1"/>
      </tp>
      <tp>
        <v>24</v>
        <stp/>
        <stp>Market</stp>
        <stp>FOP</stp>
        <stp>191485018</stp>
        <stp>安値</stp>
        <tr r="BE180" s="1"/>
      </tp>
      <tp>
        <v>0</v>
        <stp/>
        <stp>Market</stp>
        <stp>FOP</stp>
        <stp>181364518</stp>
        <stp>安値</stp>
        <tr r="BY139" s="1"/>
      </tp>
      <tp>
        <v>0</v>
        <stp/>
        <stp>Market</stp>
        <stp>FOP</stp>
        <stp>191365518</stp>
        <stp>安値</stp>
        <tr r="BE141" s="1"/>
      </tp>
      <tp>
        <v>0</v>
        <stp/>
        <stp>Market</stp>
        <stp>FOP</stp>
        <stp>141238518</stp>
        <stp>安値</stp>
        <tr r="BE57" s="1"/>
      </tp>
      <tp>
        <v>125</v>
        <stp/>
        <stp>Market</stp>
        <stp>FOP</stp>
        <stp>191235518</stp>
        <stp>安値</stp>
        <tr r="BE71" s="1"/>
      </tp>
      <tp>
        <v>64</v>
        <stp/>
        <stp>Market</stp>
        <stp>FOP</stp>
        <stp>191357018</stp>
        <stp>始値</stp>
        <tr r="BC74" s="1"/>
      </tp>
      <tp>
        <v>0</v>
        <stp/>
        <stp>Market</stp>
        <stp>FOP</stp>
        <stp>181366018</stp>
        <stp>始値</stp>
        <tr r="BW142" s="1"/>
      </tp>
      <tp>
        <v>0</v>
        <stp/>
        <stp>Market</stp>
        <stp>FOP</stp>
        <stp>191367018</stp>
        <stp>始値</stp>
        <tr r="BC144" s="1"/>
      </tp>
      <tp>
        <v>0</v>
        <stp/>
        <stp>Market</stp>
        <stp>FOP</stp>
        <stp>181246018</stp>
        <stp>始値</stp>
        <tr r="BW102" s="1"/>
      </tp>
      <tp>
        <v>1090</v>
        <stp/>
        <stp>Market</stp>
        <stp>FOP</stp>
        <stp>181236018</stp>
        <stp>始値</stp>
        <tr r="BW52" s="1"/>
      </tp>
      <tp>
        <v>0</v>
        <stp/>
        <stp>Market</stp>
        <stp>FOP</stp>
        <stp>181116018</stp>
        <stp>始値</stp>
        <tr r="BW12" s="1"/>
      </tp>
      <tp>
        <v>0</v>
        <stp/>
        <stp>Market</stp>
        <stp>FOP</stp>
        <stp>181366518</stp>
        <stp>始値</stp>
        <tr r="BW143" s="1"/>
      </tp>
      <tp>
        <v>0</v>
        <stp/>
        <stp>Market</stp>
        <stp>FOP</stp>
        <stp>191367518</stp>
        <stp>始値</stp>
        <tr r="BC165" s="1"/>
      </tp>
      <tp>
        <v>0</v>
        <stp/>
        <stp>Market</stp>
        <stp>FOP</stp>
        <stp>181246518</stp>
        <stp>始値</stp>
        <tr r="BW103" s="1"/>
      </tp>
      <tp>
        <v>0</v>
        <stp/>
        <stp>Market</stp>
        <stp>FOP</stp>
        <stp>191237518</stp>
        <stp>始値</stp>
        <tr r="BC55" s="1"/>
      </tp>
      <tp>
        <v>0</v>
        <stp/>
        <stp>Market</stp>
        <stp>FOP</stp>
        <stp>181116518</stp>
        <stp>始値</stp>
        <tr r="BW33" s="1"/>
      </tp>
      <tp>
        <v>0</v>
        <stp/>
        <stp>Market</stp>
        <stp>FOP</stp>
        <stp>191487518</stp>
        <stp>始値</stp>
        <tr r="BC185" s="1"/>
      </tp>
      <tp>
        <v>92</v>
        <stp/>
        <stp>Market</stp>
        <stp>FOP</stp>
        <stp>191356018</stp>
        <stp>安値</stp>
        <tr r="BE72" s="1"/>
      </tp>
      <tp>
        <v>0</v>
        <stp/>
        <stp>Market</stp>
        <stp>FOP</stp>
        <stp>181367018</stp>
        <stp>安値</stp>
        <tr r="BY144" s="1"/>
      </tp>
      <tp>
        <v>0</v>
        <stp/>
        <stp>Market</stp>
        <stp>FOP</stp>
        <stp>191366018</stp>
        <stp>安値</stp>
        <tr r="BE142" s="1"/>
      </tp>
      <tp>
        <v>80</v>
        <stp/>
        <stp>Market</stp>
        <stp>FOP</stp>
        <stp>181247018</stp>
        <stp>安値</stp>
        <tr r="BY104" s="1"/>
      </tp>
      <tp>
        <v>0</v>
        <stp/>
        <stp>Market</stp>
        <stp>FOP</stp>
        <stp>191236018</stp>
        <stp>安値</stp>
        <tr r="BE52" s="1"/>
      </tp>
      <tp>
        <v>0</v>
        <stp/>
        <stp>Market</stp>
        <stp>FOP</stp>
        <stp>181117018</stp>
        <stp>安値</stp>
        <tr r="BY14" s="1"/>
      </tp>
      <tp>
        <v>0</v>
        <stp/>
        <stp>Market</stp>
        <stp>FOP</stp>
        <stp>191366518</stp>
        <stp>安値</stp>
        <tr r="BE143" s="1"/>
      </tp>
      <tp>
        <v>0</v>
        <stp/>
        <stp>Market</stp>
        <stp>FOP</stp>
        <stp>181247518</stp>
        <stp>安値</stp>
        <tr r="BY105" s="1"/>
      </tp>
      <tp>
        <v>0</v>
        <stp/>
        <stp>Market</stp>
        <stp>FOP</stp>
        <stp>181237518</stp>
        <stp>安値</stp>
        <tr r="BY55" s="1"/>
      </tp>
      <tp>
        <v>0</v>
        <stp/>
        <stp>Market</stp>
        <stp>FOP</stp>
        <stp>191236518</stp>
        <stp>安値</stp>
        <tr r="BE73" s="1"/>
      </tp>
      <tp>
        <v>0</v>
        <stp/>
        <stp>Market</stp>
        <stp>FOP</stp>
        <stp>181117518</stp>
        <stp>安値</stp>
        <tr r="BY35" s="1"/>
      </tp>
      <tp>
        <v>1410</v>
        <stp/>
        <stp>Market</stp>
        <stp>FOP</stp>
        <stp>141359018</stp>
        <stp>始値</stp>
        <tr r="BC58" s="1"/>
      </tp>
      <tp>
        <v>0</v>
        <stp/>
        <stp>Market</stp>
        <stp>FOP</stp>
        <stp>181365018</stp>
        <stp>始値</stp>
        <tr r="BW140" s="1"/>
      </tp>
      <tp>
        <v>90</v>
        <stp/>
        <stp>Market</stp>
        <stp>FOP</stp>
        <stp>181115018</stp>
        <stp>始値</stp>
        <tr r="BW30" s="1"/>
      </tp>
      <tp>
        <v>0</v>
        <stp/>
        <stp>Market</stp>
        <stp>FOP</stp>
        <stp>141489018</stp>
        <stp>始値</stp>
        <tr r="BC168" s="1"/>
      </tp>
      <tp>
        <v>0</v>
        <stp/>
        <stp>Market</stp>
        <stp>FOP</stp>
        <stp>191484018</stp>
        <stp>始値</stp>
        <tr r="BC178" s="1"/>
      </tp>
      <tp>
        <v>0</v>
        <stp/>
        <stp>Market</stp>
        <stp>FOP</stp>
        <stp>181365518</stp>
        <stp>始値</stp>
        <tr r="BW141" s="1"/>
      </tp>
      <tp>
        <v>0</v>
        <stp/>
        <stp>Market</stp>
        <stp>FOP</stp>
        <stp>141239518</stp>
        <stp>始値</stp>
        <tr r="BC59" s="1"/>
      </tp>
      <tp>
        <v>0</v>
        <stp/>
        <stp>Market</stp>
        <stp>FOP</stp>
        <stp>191234518</stp>
        <stp>始値</stp>
        <tr r="BC69" s="1"/>
      </tp>
      <tp>
        <v>0</v>
        <stp/>
        <stp>Market</stp>
        <stp>FOP</stp>
        <stp>181115518</stp>
        <stp>始値</stp>
        <tr r="BW31" s="1"/>
      </tp>
      <tp>
        <v>56</v>
        <stp/>
        <stp>Market</stp>
        <stp>FOP</stp>
        <stp>191357018</stp>
        <stp>安値</stp>
        <tr r="BE74" s="1"/>
      </tp>
      <tp>
        <v>0</v>
        <stp/>
        <stp>Market</stp>
        <stp>FOP</stp>
        <stp>181366018</stp>
        <stp>安値</stp>
        <tr r="BY142" s="1"/>
      </tp>
      <tp>
        <v>0</v>
        <stp/>
        <stp>Market</stp>
        <stp>FOP</stp>
        <stp>191367018</stp>
        <stp>安値</stp>
        <tr r="BE144" s="1"/>
      </tp>
      <tp>
        <v>0</v>
        <stp/>
        <stp>Market</stp>
        <stp>FOP</stp>
        <stp>181246018</stp>
        <stp>安値</stp>
        <tr r="BY102" s="1"/>
      </tp>
      <tp>
        <v>1090</v>
        <stp/>
        <stp>Market</stp>
        <stp>FOP</stp>
        <stp>181236018</stp>
        <stp>安値</stp>
        <tr r="BY52" s="1"/>
      </tp>
      <tp>
        <v>0</v>
        <stp/>
        <stp>Market</stp>
        <stp>FOP</stp>
        <stp>181116018</stp>
        <stp>安値</stp>
        <tr r="BY12" s="1"/>
      </tp>
      <tp>
        <v>0</v>
        <stp/>
        <stp>Market</stp>
        <stp>FOP</stp>
        <stp>181366518</stp>
        <stp>安値</stp>
        <tr r="BY143" s="1"/>
      </tp>
      <tp>
        <v>0</v>
        <stp/>
        <stp>Market</stp>
        <stp>FOP</stp>
        <stp>191367518</stp>
        <stp>安値</stp>
        <tr r="BE165" s="1"/>
      </tp>
      <tp>
        <v>0</v>
        <stp/>
        <stp>Market</stp>
        <stp>FOP</stp>
        <stp>181246518</stp>
        <stp>安値</stp>
        <tr r="BY103" s="1"/>
      </tp>
      <tp>
        <v>0</v>
        <stp/>
        <stp>Market</stp>
        <stp>FOP</stp>
        <stp>191237518</stp>
        <stp>安値</stp>
        <tr r="BE55" s="1"/>
      </tp>
      <tp>
        <v>0</v>
        <stp/>
        <stp>Market</stp>
        <stp>FOP</stp>
        <stp>181116518</stp>
        <stp>安値</stp>
        <tr r="BY33" s="1"/>
      </tp>
      <tp>
        <v>0</v>
        <stp/>
        <stp>Market</stp>
        <stp>FOP</stp>
        <stp>191487518</stp>
        <stp>安値</stp>
        <tr r="BE185" s="1"/>
      </tp>
      <tp>
        <v>2020</v>
        <stp/>
        <stp>Market</stp>
        <stp>FOP</stp>
        <stp>141358018</stp>
        <stp>始値</stp>
        <tr r="BC56" s="1"/>
      </tp>
      <tp>
        <v>163</v>
        <stp/>
        <stp>Market</stp>
        <stp>FOP</stp>
        <stp>191355018</stp>
        <stp>始値</stp>
        <tr r="BC70" s="1"/>
      </tp>
      <tp>
        <v>0</v>
        <stp/>
        <stp>Market</stp>
        <stp>FOP</stp>
        <stp>181364018</stp>
        <stp>始値</stp>
        <tr r="BW138" s="1"/>
      </tp>
      <tp>
        <v>0</v>
        <stp/>
        <stp>Market</stp>
        <stp>FOP</stp>
        <stp>191365018</stp>
        <stp>始値</stp>
        <tr r="BC140" s="1"/>
      </tp>
      <tp>
        <v>81</v>
        <stp/>
        <stp>Market</stp>
        <stp>FOP</stp>
        <stp>181114018</stp>
        <stp>始値</stp>
        <tr r="BW28" s="1"/>
      </tp>
      <tp>
        <v>0</v>
        <stp/>
        <stp>Market</stp>
        <stp>FOP</stp>
        <stp>141488018</stp>
        <stp>始値</stp>
        <tr r="BC166" s="1"/>
      </tp>
      <tp>
        <v>24</v>
        <stp/>
        <stp>Market</stp>
        <stp>FOP</stp>
        <stp>191485018</stp>
        <stp>始値</stp>
        <tr r="BC180" s="1"/>
      </tp>
      <tp>
        <v>0</v>
        <stp/>
        <stp>Market</stp>
        <stp>FOP</stp>
        <stp>181364518</stp>
        <stp>始値</stp>
        <tr r="BW139" s="1"/>
      </tp>
      <tp>
        <v>0</v>
        <stp/>
        <stp>Market</stp>
        <stp>FOP</stp>
        <stp>191365518</stp>
        <stp>始値</stp>
        <tr r="BC141" s="1"/>
      </tp>
      <tp>
        <v>0</v>
        <stp/>
        <stp>Market</stp>
        <stp>FOP</stp>
        <stp>141238518</stp>
        <stp>始値</stp>
        <tr r="BC57" s="1"/>
      </tp>
      <tp>
        <v>125</v>
        <stp/>
        <stp>Market</stp>
        <stp>FOP</stp>
        <stp>191235518</stp>
        <stp>始値</stp>
        <tr r="BC71" s="1"/>
      </tp>
      <tp>
        <v>14</v>
        <stp/>
        <stp>Market</stp>
        <stp>FOP</stp>
        <stp>191350018</stp>
        <stp>安値</stp>
        <tr r="BE80" s="1"/>
      </tp>
      <tp>
        <v>0</v>
        <stp/>
        <stp>Market</stp>
        <stp>FOP</stp>
        <stp>181361018</stp>
        <stp>安値</stp>
        <tr r="BY152" s="1"/>
      </tp>
      <tp>
        <v>0</v>
        <stp/>
        <stp>Market</stp>
        <stp>FOP</stp>
        <stp>191360018</stp>
        <stp>安値</stp>
        <tr r="BE150" s="1"/>
      </tp>
      <tp>
        <v>0</v>
        <stp/>
        <stp>Market</stp>
        <stp>FOP</stp>
        <stp>181241018</stp>
        <stp>安値</stp>
        <tr r="BY112" s="1"/>
      </tp>
      <tp>
        <v>50</v>
        <stp/>
        <stp>Market</stp>
        <stp>FOP</stp>
        <stp>181111018</stp>
        <stp>安値</stp>
        <tr r="BY22" s="1"/>
      </tp>
      <tp>
        <v>4</v>
        <stp/>
        <stp>Market</stp>
        <stp>FOP</stp>
        <stp>191480018</stp>
        <stp>安値</stp>
        <tr r="BE190" s="1"/>
      </tp>
      <tp>
        <v>0</v>
        <stp/>
        <stp>Market</stp>
        <stp>FOP</stp>
        <stp>191360518</stp>
        <stp>安値</stp>
        <tr r="BE151" s="1"/>
      </tp>
      <tp>
        <v>0</v>
        <stp/>
        <stp>Market</stp>
        <stp>FOP</stp>
        <stp>181241518</stp>
        <stp>安値</stp>
        <tr r="BY113" s="1"/>
      </tp>
      <tp>
        <v>0</v>
        <stp/>
        <stp>Market</stp>
        <stp>FOP</stp>
        <stp>181111518</stp>
        <stp>安値</stp>
        <tr r="BY43" s="1"/>
      </tp>
      <tp>
        <v>1825</v>
        <stp/>
        <stp>Market</stp>
        <stp>FOP</stp>
        <stp>131358018</stp>
        <stp>始値</stp>
        <tr r="BW56" s="1"/>
      </tp>
      <tp>
        <v>0</v>
        <stp/>
        <stp>Market</stp>
        <stp>FOP</stp>
        <stp>131368018</stp>
        <stp>始値</stp>
        <tr r="BW126" s="1"/>
      </tp>
      <tp>
        <v>0</v>
        <stp/>
        <stp>Market</stp>
        <stp>FOP</stp>
        <stp>181363018</stp>
        <stp>始値</stp>
        <tr r="BW136" s="1"/>
      </tp>
      <tp>
        <v>0</v>
        <stp/>
        <stp>Market</stp>
        <stp>FOP</stp>
        <stp>191362018</stp>
        <stp>始値</stp>
        <tr r="BC154" s="1"/>
      </tp>
      <tp>
        <v>160</v>
        <stp/>
        <stp>Market</stp>
        <stp>FOP</stp>
        <stp>131238018</stp>
        <stp>始値</stp>
        <tr r="BW36" s="1"/>
      </tp>
      <tp>
        <v>67</v>
        <stp/>
        <stp>Market</stp>
        <stp>FOP</stp>
        <stp>181113018</stp>
        <stp>始値</stp>
        <tr r="BW26" s="1"/>
      </tp>
      <tp>
        <v>0</v>
        <stp/>
        <stp>Market</stp>
        <stp>FOP</stp>
        <stp>131368518</stp>
        <stp>始値</stp>
        <tr r="BW127" s="1"/>
      </tp>
      <tp>
        <v>0</v>
        <stp/>
        <stp>Market</stp>
        <stp>FOP</stp>
        <stp>181363518</stp>
        <stp>始値</stp>
        <tr r="BW137" s="1"/>
      </tp>
      <tp>
        <v>0</v>
        <stp/>
        <stp>Market</stp>
        <stp>FOP</stp>
        <stp>131238518</stp>
        <stp>始値</stp>
        <tr r="BW57" s="1"/>
      </tp>
      <tp>
        <v>6</v>
        <stp/>
        <stp>Market</stp>
        <stp>FOP</stp>
        <stp>191232518</stp>
        <stp>始値</stp>
        <tr r="BC85" s="1"/>
      </tp>
      <tp>
        <v>0</v>
        <stp/>
        <stp>Market</stp>
        <stp>FOP</stp>
        <stp>131118518</stp>
        <stp>始値</stp>
        <tr r="BW17" s="1"/>
      </tp>
      <tp>
        <v>0</v>
        <stp/>
        <stp>Market</stp>
        <stp>FOP</stp>
        <stp>181113518</stp>
        <stp>始値</stp>
        <tr r="BW47" s="1"/>
      </tp>
      <tp>
        <v>415</v>
        <stp/>
        <stp>Market</stp>
        <stp>FOP</stp>
        <stp>191112518</stp>
        <stp>始値</stp>
        <tr r="BC65" s="1"/>
      </tp>
      <tp>
        <v>0</v>
        <stp/>
        <stp>Market</stp>
        <stp>FOP</stp>
        <stp>191482518</stp>
        <stp>始値</stp>
        <tr r="BC175" s="1"/>
      </tp>
      <tp>
        <v>0</v>
        <stp/>
        <stp>Market</stp>
        <stp>FOP</stp>
        <stp>181360018</stp>
        <stp>安値</stp>
        <tr r="BY150" s="1"/>
      </tp>
      <tp>
        <v>0</v>
        <stp/>
        <stp>Market</stp>
        <stp>FOP</stp>
        <stp>191361018</stp>
        <stp>安値</stp>
        <tr r="BE152" s="1"/>
      </tp>
      <tp>
        <v>128</v>
        <stp/>
        <stp>Market</stp>
        <stp>FOP</stp>
        <stp>181240018</stp>
        <stp>安値</stp>
        <tr r="BY110" s="1"/>
      </tp>
      <tp>
        <v>44</v>
        <stp/>
        <stp>Market</stp>
        <stp>FOP</stp>
        <stp>181110018</stp>
        <stp>安値</stp>
        <tr r="BY20" s="1"/>
      </tp>
      <tp>
        <v>0</v>
        <stp/>
        <stp>Market</stp>
        <stp>FOP</stp>
        <stp>181360518</stp>
        <stp>安値</stp>
        <tr r="BY151" s="1"/>
      </tp>
      <tp>
        <v>0</v>
        <stp/>
        <stp>Market</stp>
        <stp>FOP</stp>
        <stp>191361518</stp>
        <stp>安値</stp>
        <tr r="BE153" s="1"/>
      </tp>
      <tp>
        <v>0</v>
        <stp/>
        <stp>Market</stp>
        <stp>FOP</stp>
        <stp>181240518</stp>
        <stp>安値</stp>
        <tr r="BY111" s="1"/>
      </tp>
      <tp>
        <v>0</v>
        <stp/>
        <stp>Market</stp>
        <stp>FOP</stp>
        <stp>181110518</stp>
        <stp>安値</stp>
        <tr r="BY41" s="1"/>
      </tp>
      <tp>
        <v>2360</v>
        <stp/>
        <stp>Market</stp>
        <stp>FOP</stp>
        <stp>131359018</stp>
        <stp>始値</stp>
        <tr r="BW58" s="1"/>
      </tp>
      <tp>
        <v>490</v>
        <stp/>
        <stp>Market</stp>
        <stp>FOP</stp>
        <stp>131369018</stp>
        <stp>始値</stp>
        <tr r="BW128" s="1"/>
      </tp>
      <tp>
        <v>0</v>
        <stp/>
        <stp>Market</stp>
        <stp>FOP</stp>
        <stp>181242018</stp>
        <stp>始値</stp>
        <tr r="BW114" s="1"/>
      </tp>
      <tp>
        <v>182</v>
        <stp/>
        <stp>Market</stp>
        <stp>FOP</stp>
        <stp>131239018</stp>
        <stp>始値</stp>
        <tr r="BW38" s="1"/>
      </tp>
      <tp>
        <v>59</v>
        <stp/>
        <stp>Market</stp>
        <stp>FOP</stp>
        <stp>181112018</stp>
        <stp>始値</stp>
        <tr r="BW24" s="1"/>
      </tp>
      <tp>
        <v>47</v>
        <stp/>
        <stp>Market</stp>
        <stp>FOP</stp>
        <stp>191483018</stp>
        <stp>始値</stp>
        <tr r="BC176" s="1"/>
      </tp>
      <tp>
        <v>0</v>
        <stp/>
        <stp>Market</stp>
        <stp>FOP</stp>
        <stp>131369518</stp>
        <stp>始値</stp>
        <tr r="BW129" s="1"/>
      </tp>
      <tp>
        <v>0</v>
        <stp/>
        <stp>Market</stp>
        <stp>FOP</stp>
        <stp>181362518</stp>
        <stp>始値</stp>
        <tr r="BW115" s="1"/>
      </tp>
      <tp>
        <v>0</v>
        <stp/>
        <stp>Market</stp>
        <stp>FOP</stp>
        <stp>181242518</stp>
        <stp>始値</stp>
        <tr r="BW135" s="1"/>
      </tp>
      <tp>
        <v>0</v>
        <stp/>
        <stp>Market</stp>
        <stp>FOP</stp>
        <stp>131239518</stp>
        <stp>始値</stp>
        <tr r="BW59" s="1"/>
      </tp>
      <tp>
        <v>0</v>
        <stp/>
        <stp>Market</stp>
        <stp>FOP</stp>
        <stp>131119518</stp>
        <stp>始値</stp>
        <tr r="BW19" s="1"/>
      </tp>
      <tp>
        <v>1770</v>
        <stp/>
        <stp>Market</stp>
        <stp>FOP</stp>
        <stp>131358018</stp>
        <stp>安値</stp>
        <tr r="BY56" s="1"/>
      </tp>
      <tp>
        <v>0</v>
        <stp/>
        <stp>Market</stp>
        <stp>FOP</stp>
        <stp>131368018</stp>
        <stp>安値</stp>
        <tr r="BY126" s="1"/>
      </tp>
      <tp>
        <v>0</v>
        <stp/>
        <stp>Market</stp>
        <stp>FOP</stp>
        <stp>181363018</stp>
        <stp>安値</stp>
        <tr r="BY136" s="1"/>
      </tp>
      <tp>
        <v>0</v>
        <stp/>
        <stp>Market</stp>
        <stp>FOP</stp>
        <stp>191362018</stp>
        <stp>安値</stp>
        <tr r="BE154" s="1"/>
      </tp>
      <tp>
        <v>151</v>
        <stp/>
        <stp>Market</stp>
        <stp>FOP</stp>
        <stp>131238018</stp>
        <stp>安値</stp>
        <tr r="BY36" s="1"/>
      </tp>
      <tp>
        <v>66</v>
        <stp/>
        <stp>Market</stp>
        <stp>FOP</stp>
        <stp>181113018</stp>
        <stp>安値</stp>
        <tr r="BY26" s="1"/>
      </tp>
      <tp>
        <v>0</v>
        <stp/>
        <stp>Market</stp>
        <stp>FOP</stp>
        <stp>131368518</stp>
        <stp>安値</stp>
        <tr r="BY127" s="1"/>
      </tp>
      <tp>
        <v>0</v>
        <stp/>
        <stp>Market</stp>
        <stp>FOP</stp>
        <stp>181363518</stp>
        <stp>安値</stp>
        <tr r="BY137" s="1"/>
      </tp>
      <tp>
        <v>0</v>
        <stp/>
        <stp>Market</stp>
        <stp>FOP</stp>
        <stp>131238518</stp>
        <stp>安値</stp>
        <tr r="BY57" s="1"/>
      </tp>
      <tp>
        <v>5</v>
        <stp/>
        <stp>Market</stp>
        <stp>FOP</stp>
        <stp>191232518</stp>
        <stp>安値</stp>
        <tr r="BE85" s="1"/>
      </tp>
      <tp>
        <v>0</v>
        <stp/>
        <stp>Market</stp>
        <stp>FOP</stp>
        <stp>131118518</stp>
        <stp>安値</stp>
        <tr r="BY17" s="1"/>
      </tp>
      <tp>
        <v>0</v>
        <stp/>
        <stp>Market</stp>
        <stp>FOP</stp>
        <stp>181113518</stp>
        <stp>安値</stp>
        <tr r="BY47" s="1"/>
      </tp>
      <tp>
        <v>415</v>
        <stp/>
        <stp>Market</stp>
        <stp>FOP</stp>
        <stp>191112518</stp>
        <stp>安値</stp>
        <tr r="BE65" s="1"/>
      </tp>
      <tp>
        <v>0</v>
        <stp/>
        <stp>Market</stp>
        <stp>FOP</stp>
        <stp>191482518</stp>
        <stp>安値</stp>
        <tr r="BE175" s="1"/>
      </tp>
      <tp>
        <v>15</v>
        <stp/>
        <stp>Market</stp>
        <stp>FOP</stp>
        <stp>191350018</stp>
        <stp>始値</stp>
        <tr r="BC80" s="1"/>
      </tp>
      <tp>
        <v>0</v>
        <stp/>
        <stp>Market</stp>
        <stp>FOP</stp>
        <stp>181361018</stp>
        <stp>始値</stp>
        <tr r="BW152" s="1"/>
      </tp>
      <tp>
        <v>0</v>
        <stp/>
        <stp>Market</stp>
        <stp>FOP</stp>
        <stp>191360018</stp>
        <stp>始値</stp>
        <tr r="BC150" s="1"/>
      </tp>
      <tp>
        <v>0</v>
        <stp/>
        <stp>Market</stp>
        <stp>FOP</stp>
        <stp>181241018</stp>
        <stp>始値</stp>
        <tr r="BW112" s="1"/>
      </tp>
      <tp>
        <v>51</v>
        <stp/>
        <stp>Market</stp>
        <stp>FOP</stp>
        <stp>181111018</stp>
        <stp>始値</stp>
        <tr r="BW22" s="1"/>
      </tp>
      <tp>
        <v>6</v>
        <stp/>
        <stp>Market</stp>
        <stp>FOP</stp>
        <stp>191480018</stp>
        <stp>始値</stp>
        <tr r="BC190" s="1"/>
      </tp>
      <tp>
        <v>0</v>
        <stp/>
        <stp>Market</stp>
        <stp>FOP</stp>
        <stp>191360518</stp>
        <stp>始値</stp>
        <tr r="BC151" s="1"/>
      </tp>
      <tp>
        <v>0</v>
        <stp/>
        <stp>Market</stp>
        <stp>FOP</stp>
        <stp>181241518</stp>
        <stp>始値</stp>
        <tr r="BW113" s="1"/>
      </tp>
      <tp>
        <v>0</v>
        <stp/>
        <stp>Market</stp>
        <stp>FOP</stp>
        <stp>181111518</stp>
        <stp>始値</stp>
        <tr r="BW43" s="1"/>
      </tp>
      <tp>
        <v>2360</v>
        <stp/>
        <stp>Market</stp>
        <stp>FOP</stp>
        <stp>131359018</stp>
        <stp>安値</stp>
        <tr r="BY58" s="1"/>
      </tp>
      <tp>
        <v>490</v>
        <stp/>
        <stp>Market</stp>
        <stp>FOP</stp>
        <stp>131369018</stp>
        <stp>安値</stp>
        <tr r="BY128" s="1"/>
      </tp>
      <tp>
        <v>0</v>
        <stp/>
        <stp>Market</stp>
        <stp>FOP</stp>
        <stp>181242018</stp>
        <stp>安値</stp>
        <tr r="BY114" s="1"/>
      </tp>
      <tp>
        <v>182</v>
        <stp/>
        <stp>Market</stp>
        <stp>FOP</stp>
        <stp>131239018</stp>
        <stp>安値</stp>
        <tr r="BY38" s="1"/>
      </tp>
      <tp>
        <v>57</v>
        <stp/>
        <stp>Market</stp>
        <stp>FOP</stp>
        <stp>181112018</stp>
        <stp>安値</stp>
        <tr r="BY24" s="1"/>
      </tp>
      <tp>
        <v>47</v>
        <stp/>
        <stp>Market</stp>
        <stp>FOP</stp>
        <stp>191483018</stp>
        <stp>安値</stp>
        <tr r="BE176" s="1"/>
      </tp>
      <tp>
        <v>0</v>
        <stp/>
        <stp>Market</stp>
        <stp>FOP</stp>
        <stp>131369518</stp>
        <stp>安値</stp>
        <tr r="BY129" s="1"/>
      </tp>
      <tp>
        <v>0</v>
        <stp/>
        <stp>Market</stp>
        <stp>FOP</stp>
        <stp>181362518</stp>
        <stp>安値</stp>
        <tr r="BY115" s="1"/>
      </tp>
      <tp>
        <v>0</v>
        <stp/>
        <stp>Market</stp>
        <stp>FOP</stp>
        <stp>181242518</stp>
        <stp>安値</stp>
        <tr r="BY135" s="1"/>
      </tp>
      <tp>
        <v>0</v>
        <stp/>
        <stp>Market</stp>
        <stp>FOP</stp>
        <stp>131239518</stp>
        <stp>安値</stp>
        <tr r="BY59" s="1"/>
      </tp>
      <tp>
        <v>0</v>
        <stp/>
        <stp>Market</stp>
        <stp>FOP</stp>
        <stp>131119518</stp>
        <stp>安値</stp>
        <tr r="BY19" s="1"/>
      </tp>
      <tp>
        <v>0</v>
        <stp/>
        <stp>Market</stp>
        <stp>FOP</stp>
        <stp>181360018</stp>
        <stp>始値</stp>
        <tr r="BW150" s="1"/>
      </tp>
      <tp>
        <v>0</v>
        <stp/>
        <stp>Market</stp>
        <stp>FOP</stp>
        <stp>191361018</stp>
        <stp>始値</stp>
        <tr r="BC152" s="1"/>
      </tp>
      <tp>
        <v>128</v>
        <stp/>
        <stp>Market</stp>
        <stp>FOP</stp>
        <stp>181240018</stp>
        <stp>始値</stp>
        <tr r="BW110" s="1"/>
      </tp>
      <tp>
        <v>44</v>
        <stp/>
        <stp>Market</stp>
        <stp>FOP</stp>
        <stp>181110018</stp>
        <stp>始値</stp>
        <tr r="BW20" s="1"/>
      </tp>
      <tp>
        <v>0</v>
        <stp/>
        <stp>Market</stp>
        <stp>FOP</stp>
        <stp>181360518</stp>
        <stp>始値</stp>
        <tr r="BW151" s="1"/>
      </tp>
      <tp>
        <v>0</v>
        <stp/>
        <stp>Market</stp>
        <stp>FOP</stp>
        <stp>191361518</stp>
        <stp>始値</stp>
        <tr r="BC153" s="1"/>
      </tp>
      <tp>
        <v>0</v>
        <stp/>
        <stp>Market</stp>
        <stp>FOP</stp>
        <stp>181240518</stp>
        <stp>始値</stp>
        <tr r="BW111" s="1"/>
      </tp>
      <tp>
        <v>0</v>
        <stp/>
        <stp>Market</stp>
        <stp>FOP</stp>
        <stp>181110518</stp>
        <stp>始値</stp>
        <tr r="BW41" s="1"/>
      </tp>
    </main>
    <main first="rtdsrv.48cf1ad348244608b72d359ebfbe4e5c">
      <tp t="s">
        <v>日経平均VI指数</v>
        <stp/>
        <stp>Market</stp>
        <stp>INDEX</stp>
        <stp>NVI</stp>
        <stp>指標名称</stp>
        <tr r="AO8" s="1"/>
      </tp>
    </main>
    <main first="rtdsrv.48cf1ad348244608b72d359ebfbe4e5c">
      <tp>
        <v>1455</v>
        <stp/>
        <stp>Market</stp>
        <stp>FOP</stp>
        <stp>131357018</stp>
        <stp>高値</stp>
        <tr r="BX54" s="1"/>
      </tp>
      <tp>
        <v>1150</v>
        <stp/>
        <stp>Market</stp>
        <stp>FOP</stp>
        <stp>141350018</stp>
        <stp>高値</stp>
        <tr r="BD60" s="1"/>
      </tp>
      <tp>
        <v>0</v>
        <stp/>
        <stp>Market</stp>
        <stp>FOP</stp>
        <stp>131367018</stp>
        <stp>高値</stp>
        <tr r="BX124" s="1"/>
      </tp>
      <tp>
        <v>135</v>
        <stp/>
        <stp>Market</stp>
        <stp>FOP</stp>
        <stp>131237018</stp>
        <stp>高値</stp>
        <tr r="BX34" s="1"/>
      </tp>
      <tp>
        <v>0</v>
        <stp/>
        <stp>Market</stp>
        <stp>FOP</stp>
        <stp>141470018</stp>
        <stp>高値</stp>
        <tr r="BD100" s="1"/>
      </tp>
      <tp>
        <v>128</v>
        <stp/>
        <stp>Market</stp>
        <stp>FOP</stp>
        <stp>141480018</stp>
        <stp>高値</stp>
        <tr r="BD170" s="1"/>
      </tp>
      <tp>
        <v>0</v>
        <stp/>
        <stp>Market</stp>
        <stp>FOP</stp>
        <stp>131367518</stp>
        <stp>高値</stp>
        <tr r="BX125" s="1"/>
      </tp>
      <tp>
        <v>965</v>
        <stp/>
        <stp>Market</stp>
        <stp>FOP</stp>
        <stp>141230518</stp>
        <stp>高値</stp>
        <tr r="BD61" s="1"/>
      </tp>
      <tp>
        <v>0</v>
        <stp/>
        <stp>Market</stp>
        <stp>FOP</stp>
        <stp>131117518</stp>
        <stp>高値</stp>
        <tr r="BX15" s="1"/>
      </tp>
      <tp>
        <v>0</v>
        <stp/>
        <stp>Market</stp>
        <stp>FOP</stp>
        <stp>131487518</stp>
        <stp>高値</stp>
        <tr r="BX145" s="1"/>
      </tp>
      <tp>
        <v>825</v>
        <stp/>
        <stp>Market</stp>
        <stp>FOP</stp>
        <stp>141351018</stp>
        <stp>高値</stp>
        <tr r="BD62" s="1"/>
      </tp>
      <tp>
        <v>0</v>
        <stp/>
        <stp>Market</stp>
        <stp>FOP</stp>
        <stp>131366018</stp>
        <stp>高値</stp>
        <tr r="BX122" s="1"/>
      </tp>
      <tp>
        <v>115</v>
        <stp/>
        <stp>Market</stp>
        <stp>FOP</stp>
        <stp>131236018</stp>
        <stp>高値</stp>
        <tr r="BX32" s="1"/>
      </tp>
      <tp>
        <v>0</v>
        <stp/>
        <stp>Market</stp>
        <stp>FOP</stp>
        <stp>141481018</stp>
        <stp>高値</stp>
        <tr r="BD172" s="1"/>
      </tp>
      <tp>
        <v>0</v>
        <stp/>
        <stp>Market</stp>
        <stp>FOP</stp>
        <stp>131366518</stp>
        <stp>高値</stp>
        <tr r="BX123" s="1"/>
      </tp>
      <tp>
        <v>1245</v>
        <stp/>
        <stp>Market</stp>
        <stp>FOP</stp>
        <stp>131236518</stp>
        <stp>高値</stp>
        <tr r="BX53" s="1"/>
      </tp>
      <tp>
        <v>660</v>
        <stp/>
        <stp>Market</stp>
        <stp>FOP</stp>
        <stp>141231518</stp>
        <stp>高値</stp>
        <tr r="BD63" s="1"/>
      </tp>
      <tp>
        <v>0</v>
        <stp/>
        <stp>Market</stp>
        <stp>FOP</stp>
        <stp>131116518</stp>
        <stp>高値</stp>
        <tr r="BX13" s="1"/>
      </tp>
      <tp>
        <v>28.09</v>
        <stp/>
        <stp>Market</stp>
        <stp>INDEX</stp>
        <stp>NVI</stp>
        <stp>現在値</stp>
        <tr r="AZ8" s="1"/>
      </tp>
      <tp>
        <v>560</v>
        <stp/>
        <stp>Market</stp>
        <stp>FOP</stp>
        <stp>141352018</stp>
        <stp>高値</stp>
        <tr r="BD64" s="1"/>
      </tp>
      <tp>
        <v>0</v>
        <stp/>
        <stp>Market</stp>
        <stp>FOP</stp>
        <stp>131365018</stp>
        <stp>高値</stp>
        <tr r="BX120" s="1"/>
      </tp>
      <tp>
        <v>865</v>
        <stp/>
        <stp>Market</stp>
        <stp>FOP</stp>
        <stp>131235018</stp>
        <stp>高値</stp>
        <tr r="BX50" s="1"/>
      </tp>
      <tp>
        <v>68365</v>
        <stp/>
        <stp>Market</stp>
        <stp>FOP</stp>
        <stp>161110019</stp>
        <stp>高値</stp>
        <tr r="BD10" s="1"/>
      </tp>
      <tp>
        <v>68445</v>
        <stp/>
        <stp>Market</stp>
        <stp>FOP</stp>
        <stp>161120019</stp>
        <stp>高値</stp>
        <tr r="BD11" s="1"/>
      </tp>
      <tp>
        <v>0</v>
        <stp/>
        <stp>Market</stp>
        <stp>FOP</stp>
        <stp>141482018</stp>
        <stp>高値</stp>
        <tr r="BD174" s="1"/>
      </tp>
      <tp>
        <v>0</v>
        <stp/>
        <stp>Market</stp>
        <stp>FOP</stp>
        <stp>131365518</stp>
        <stp>高値</stp>
        <tr r="BX121" s="1"/>
      </tp>
      <tp>
        <v>0</v>
        <stp/>
        <stp>Market</stp>
        <stp>FOP</stp>
        <stp>131235518</stp>
        <stp>高値</stp>
        <tr r="BX51" s="1"/>
      </tp>
      <tp>
        <v>1085</v>
        <stp/>
        <stp>Market</stp>
        <stp>FOP</stp>
        <stp>141482518</stp>
        <stp>高値</stp>
        <tr r="BD155" s="1"/>
      </tp>
      <tp>
        <v>385</v>
        <stp/>
        <stp>Market</stp>
        <stp>FOP</stp>
        <stp>141353018</stp>
        <stp>高値</stp>
        <tr r="BD66" s="1"/>
      </tp>
      <tp>
        <v>0</v>
        <stp/>
        <stp>Market</stp>
        <stp>FOP</stp>
        <stp>131364018</stp>
        <stp>高値</stp>
        <tr r="BX118" s="1"/>
      </tp>
      <tp>
        <v>640</v>
        <stp/>
        <stp>Market</stp>
        <stp>FOP</stp>
        <stp>131234018</stp>
        <stp>高値</stp>
        <tr r="BX48" s="1"/>
      </tp>
      <tp>
        <v>0</v>
        <stp/>
        <stp>Market</stp>
        <stp>FOP</stp>
        <stp>141483018</stp>
        <stp>高値</stp>
        <tr r="BD156" s="1"/>
      </tp>
      <tp>
        <v>0</v>
        <stp/>
        <stp>Market</stp>
        <stp>FOP</stp>
        <stp>131364518</stp>
        <stp>高値</stp>
        <tr r="BX119" s="1"/>
      </tp>
      <tp>
        <v>760</v>
        <stp/>
        <stp>Market</stp>
        <stp>FOP</stp>
        <stp>131234518</stp>
        <stp>高値</stp>
        <tr r="BX49" s="1"/>
      </tp>
      <tp>
        <v>310</v>
        <stp/>
        <stp>Market</stp>
        <stp>FOP</stp>
        <stp>141233518</stp>
        <stp>高値</stp>
        <tr r="BD67" s="1"/>
      </tp>
      <tp>
        <v>87</v>
        <stp/>
        <stp>Market</stp>
        <stp>FOP</stp>
        <stp>131114518</stp>
        <stp>高値</stp>
        <tr r="BX29" s="1"/>
      </tp>
      <tp>
        <v>0</v>
        <stp/>
        <stp>Market</stp>
        <stp>FOP</stp>
        <stp>141483518</stp>
        <stp>高値</stp>
        <tr r="BD157" s="1"/>
      </tp>
      <tp>
        <v>256</v>
        <stp/>
        <stp>Market</stp>
        <stp>FOP</stp>
        <stp>141354018</stp>
        <stp>高値</stp>
        <tr r="BD68" s="1"/>
      </tp>
      <tp>
        <v>25</v>
        <stp/>
        <stp>Market</stp>
        <stp>FOP</stp>
        <stp>191359018</stp>
        <stp>高値</stp>
        <tr r="BD78" s="1"/>
      </tp>
      <tp>
        <v>0</v>
        <stp/>
        <stp>Market</stp>
        <stp>FOP</stp>
        <stp>131363018</stp>
        <stp>高値</stp>
        <tr r="BX116" s="1"/>
      </tp>
      <tp>
        <v>0</v>
        <stp/>
        <stp>Market</stp>
        <stp>FOP</stp>
        <stp>181368018</stp>
        <stp>高値</stp>
        <tr r="BX146" s="1"/>
      </tp>
      <tp>
        <v>0</v>
        <stp/>
        <stp>Market</stp>
        <stp>FOP</stp>
        <stp>191369018</stp>
        <stp>高値</stp>
        <tr r="BD148" s="1"/>
      </tp>
      <tp>
        <v>96</v>
        <stp/>
        <stp>Market</stp>
        <stp>FOP</stp>
        <stp>181248018</stp>
        <stp>高値</stp>
        <tr r="BX106" s="1"/>
      </tp>
      <tp>
        <v>505</v>
        <stp/>
        <stp>Market</stp>
        <stp>FOP</stp>
        <stp>131233018</stp>
        <stp>高値</stp>
        <tr r="BX46" s="1"/>
      </tp>
      <tp>
        <v>33</v>
        <stp/>
        <stp>Market</stp>
        <stp>FOP</stp>
        <stp>181118018</stp>
        <stp>高値</stp>
        <tr r="BX16" s="1"/>
      </tp>
      <tp>
        <v>0</v>
        <stp/>
        <stp>Market</stp>
        <stp>FOP</stp>
        <stp>141484018</stp>
        <stp>高値</stp>
        <tr r="BD158" s="1"/>
      </tp>
      <tp>
        <v>0</v>
        <stp/>
        <stp>Market</stp>
        <stp>FOP</stp>
        <stp>131363518</stp>
        <stp>高値</stp>
        <tr r="BX117" s="1"/>
      </tp>
      <tp>
        <v>0</v>
        <stp/>
        <stp>Market</stp>
        <stp>FOP</stp>
        <stp>181368518</stp>
        <stp>高値</stp>
        <tr r="BX147" s="1"/>
      </tp>
      <tp>
        <v>0</v>
        <stp/>
        <stp>Market</stp>
        <stp>FOP</stp>
        <stp>191369518</stp>
        <stp>高値</stp>
        <tr r="BD149" s="1"/>
      </tp>
      <tp>
        <v>0</v>
        <stp/>
        <stp>Market</stp>
        <stp>FOP</stp>
        <stp>181248518</stp>
        <stp>高値</stp>
        <tr r="BX107" s="1"/>
      </tp>
      <tp>
        <v>20</v>
        <stp/>
        <stp>Market</stp>
        <stp>FOP</stp>
        <stp>191239518</stp>
        <stp>高値</stp>
        <tr r="BD79" s="1"/>
      </tp>
      <tp>
        <v>0</v>
        <stp/>
        <stp>Market</stp>
        <stp>FOP</stp>
        <stp>131113518</stp>
        <stp>高値</stp>
        <tr r="BX27" s="1"/>
      </tp>
      <tp>
        <v>180</v>
        <stp/>
        <stp>Market</stp>
        <stp>FOP</stp>
        <stp>181118518</stp>
        <stp>高値</stp>
        <tr r="BX37" s="1"/>
      </tp>
      <tp>
        <v>0</v>
        <stp/>
        <stp>Market</stp>
        <stp>FOP</stp>
        <stp>141484518</stp>
        <stp>高値</stp>
        <tr r="BD159" s="1"/>
      </tp>
      <tp>
        <v>41</v>
        <stp/>
        <stp>Market</stp>
        <stp>FOP</stp>
        <stp>191358018</stp>
        <stp>高値</stp>
        <tr r="BD76" s="1"/>
      </tp>
      <tp>
        <v>0</v>
        <stp/>
        <stp>Market</stp>
        <stp>FOP</stp>
        <stp>131362018</stp>
        <stp>高値</stp>
        <tr r="BX134" s="1"/>
      </tp>
      <tp>
        <v>0</v>
        <stp/>
        <stp>Market</stp>
        <stp>FOP</stp>
        <stp>181369018</stp>
        <stp>高値</stp>
        <tr r="BX148" s="1"/>
      </tp>
      <tp>
        <v>0</v>
        <stp/>
        <stp>Market</stp>
        <stp>FOP</stp>
        <stp>191368018</stp>
        <stp>高値</stp>
        <tr r="BD146" s="1"/>
      </tp>
      <tp>
        <v>0</v>
        <stp/>
        <stp>Market</stp>
        <stp>FOP</stp>
        <stp>181249018</stp>
        <stp>高値</stp>
        <tr r="BX108" s="1"/>
      </tp>
      <tp>
        <v>365</v>
        <stp/>
        <stp>Market</stp>
        <stp>FOP</stp>
        <stp>131232018</stp>
        <stp>高値</stp>
        <tr r="BX44" s="1"/>
      </tp>
      <tp>
        <v>0</v>
        <stp/>
        <stp>Market</stp>
        <stp>FOP</stp>
        <stp>141235018</stp>
        <stp>高値</stp>
        <tr r="BD50" s="1"/>
      </tp>
      <tp>
        <v>39</v>
        <stp/>
        <stp>Market</stp>
        <stp>FOP</stp>
        <stp>181119018</stp>
        <stp>高値</stp>
        <tr r="BX18" s="1"/>
      </tp>
      <tp>
        <v>2</v>
        <stp/>
        <stp>Market</stp>
        <stp>FOP</stp>
        <stp>141475018</stp>
        <stp>高値</stp>
        <tr r="BD90" s="1"/>
      </tp>
      <tp>
        <v>0</v>
        <stp/>
        <stp>Market</stp>
        <stp>FOP</stp>
        <stp>141485018</stp>
        <stp>高値</stp>
        <tr r="BD160" s="1"/>
      </tp>
      <tp>
        <v>0</v>
        <stp/>
        <stp>Market</stp>
        <stp>FOP</stp>
        <stp>181369518</stp>
        <stp>高値</stp>
        <tr r="BX149" s="1"/>
      </tp>
      <tp>
        <v>0</v>
        <stp/>
        <stp>Market</stp>
        <stp>FOP</stp>
        <stp>191368518</stp>
        <stp>高値</stp>
        <tr r="BD147" s="1"/>
      </tp>
      <tp>
        <v>0</v>
        <stp/>
        <stp>Market</stp>
        <stp>FOP</stp>
        <stp>181249518</stp>
        <stp>高値</stp>
        <tr r="BX109" s="1"/>
      </tp>
      <tp>
        <v>0</v>
        <stp/>
        <stp>Market</stp>
        <stp>FOP</stp>
        <stp>131232518</stp>
        <stp>高値</stp>
        <tr r="BX45" s="1"/>
      </tp>
      <tp>
        <v>0</v>
        <stp/>
        <stp>Market</stp>
        <stp>FOP</stp>
        <stp>141235518</stp>
        <stp>高値</stp>
        <tr r="BD51" s="1"/>
      </tp>
      <tp>
        <v>33</v>
        <stp/>
        <stp>Market</stp>
        <stp>FOP</stp>
        <stp>191238518</stp>
        <stp>高値</stp>
        <tr r="BD77" s="1"/>
      </tp>
      <tp>
        <v>0</v>
        <stp/>
        <stp>Market</stp>
        <stp>FOP</stp>
        <stp>131112518</stp>
        <stp>高値</stp>
        <tr r="BX25" s="1"/>
      </tp>
      <tp>
        <v>0</v>
        <stp/>
        <stp>Market</stp>
        <stp>FOP</stp>
        <stp>181119518</stp>
        <stp>高値</stp>
        <tr r="BX39" s="1"/>
      </tp>
      <tp>
        <v>0</v>
        <stp/>
        <stp>Market</stp>
        <stp>FOP</stp>
        <stp>141485518</stp>
        <stp>高値</stp>
        <tr r="BD161" s="1"/>
      </tp>
      <tp>
        <v>29.16</v>
        <stp/>
        <stp>Market</stp>
        <stp>INDEX</stp>
        <stp>NVI</stp>
        <stp>高値</stp>
        <tr r="BD8" s="1"/>
      </tp>
      <tp>
        <v>15.37</v>
        <stp/>
        <stp>Market</stp>
        <stp>INDEX</stp>
        <stp>VIX</stp>
        <stp>高値</stp>
        <tr r="BD9" s="1"/>
      </tp>
      <tp>
        <v>0</v>
        <stp/>
        <stp>Market</stp>
        <stp>FOP</stp>
        <stp>131351018</stp>
        <stp>高値</stp>
        <tr r="BX62" s="1"/>
      </tp>
      <tp>
        <v>0</v>
        <stp/>
        <stp>Market</stp>
        <stp>FOP</stp>
        <stp>131361018</stp>
        <stp>高値</stp>
        <tr r="BX132" s="1"/>
      </tp>
      <tp>
        <v>310</v>
        <stp/>
        <stp>Market</stp>
        <stp>FOP</stp>
        <stp>131231018</stp>
        <stp>高値</stp>
        <tr r="BX42" s="1"/>
      </tp>
      <tp>
        <v>0</v>
        <stp/>
        <stp>Market</stp>
        <stp>FOP</stp>
        <stp>141486018</stp>
        <stp>高値</stp>
        <tr r="BD162" s="1"/>
      </tp>
      <tp>
        <v>0</v>
        <stp/>
        <stp>Market</stp>
        <stp>FOP</stp>
        <stp>131361518</stp>
        <stp>高値</stp>
        <tr r="BX133" s="1"/>
      </tp>
      <tp>
        <v>0</v>
        <stp/>
        <stp>Market</stp>
        <stp>FOP</stp>
        <stp>141236518</stp>
        <stp>高値</stp>
        <tr r="BD53" s="1"/>
      </tp>
      <tp>
        <v>0</v>
        <stp/>
        <stp>Market</stp>
        <stp>FOP</stp>
        <stp>131111518</stp>
        <stp>高値</stp>
        <tr r="BX23" s="1"/>
      </tp>
      <tp>
        <v>0</v>
        <stp/>
        <stp>Market</stp>
        <stp>FOP</stp>
        <stp>131350018</stp>
        <stp>高値</stp>
        <tr r="BX60" s="1"/>
      </tp>
      <tp>
        <v>0</v>
        <stp/>
        <stp>Market</stp>
        <stp>FOP</stp>
        <stp>141357018</stp>
        <stp>高値</stp>
        <tr r="BD54" s="1"/>
      </tp>
      <tp>
        <v>0</v>
        <stp/>
        <stp>Market</stp>
        <stp>FOP</stp>
        <stp>131360018</stp>
        <stp>高値</stp>
        <tr r="BX130" s="1"/>
      </tp>
      <tp>
        <v>250</v>
        <stp/>
        <stp>Market</stp>
        <stp>FOP</stp>
        <stp>131230018</stp>
        <stp>高値</stp>
        <tr r="BX40" s="1"/>
      </tp>
      <tp>
        <v>290</v>
        <stp/>
        <stp>Market</stp>
        <stp>FOP</stp>
        <stp>141487018</stp>
        <stp>高値</stp>
        <tr r="BD164" s="1"/>
      </tp>
      <tp>
        <v>1</v>
        <stp/>
        <stp>Market</stp>
        <stp>FOP</stp>
        <stp>141357518</stp>
        <stp>高値</stp>
        <tr r="BD95" s="1"/>
      </tp>
      <tp>
        <v>0</v>
        <stp/>
        <stp>Market</stp>
        <stp>FOP</stp>
        <stp>131360518</stp>
        <stp>高値</stp>
        <tr r="BX131" s="1"/>
      </tp>
      <tp>
        <v>0</v>
        <stp/>
        <stp>Market</stp>
        <stp>FOP</stp>
        <stp>131230518</stp>
        <stp>高値</stp>
        <tr r="BX61" s="1"/>
      </tp>
      <tp>
        <v>50</v>
        <stp/>
        <stp>Market</stp>
        <stp>FOP</stp>
        <stp>141237518</stp>
        <stp>高値</stp>
        <tr r="BD75" s="1"/>
      </tp>
      <tp>
        <v>0</v>
        <stp/>
        <stp>Market</stp>
        <stp>FOP</stp>
        <stp>131110518</stp>
        <stp>高値</stp>
        <tr r="BX21" s="1"/>
      </tp>
      <tp>
        <v>0</v>
        <stp/>
        <stp>Market</stp>
        <stp>FOP</stp>
        <stp>141487518</stp>
        <stp>高値</stp>
        <tr r="BD145" s="1"/>
      </tp>
    </main>
    <main first="rtdsrv.48cf1ad348244608b72d359ebfbe4e5c">
      <tp>
        <v>2030</v>
        <stp/>
        <stp>Market</stp>
        <stp>FOP</stp>
        <stp>141358018</stp>
        <stp>高値</stp>
        <tr r="BD56" s="1"/>
      </tp>
      <tp>
        <v>168</v>
        <stp/>
        <stp>Market</stp>
        <stp>FOP</stp>
        <stp>191355018</stp>
        <stp>高値</stp>
        <tr r="BD70" s="1"/>
      </tp>
      <tp>
        <v>0</v>
        <stp/>
        <stp>Market</stp>
        <stp>FOP</stp>
        <stp>181364018</stp>
        <stp>高値</stp>
        <tr r="BX138" s="1"/>
      </tp>
      <tp>
        <v>0</v>
        <stp/>
        <stp>Market</stp>
        <stp>FOP</stp>
        <stp>191365018</stp>
        <stp>高値</stp>
        <tr r="BD140" s="1"/>
      </tp>
      <tp>
        <v>84</v>
        <stp/>
        <stp>Market</stp>
        <stp>FOP</stp>
        <stp>181114018</stp>
        <stp>高値</stp>
        <tr r="BX28" s="1"/>
      </tp>
      <tp>
        <v>0</v>
        <stp/>
        <stp>Market</stp>
        <stp>FOP</stp>
        <stp>141488018</stp>
        <stp>高値</stp>
        <tr r="BD166" s="1"/>
      </tp>
      <tp>
        <v>24</v>
        <stp/>
        <stp>Market</stp>
        <stp>FOP</stp>
        <stp>191485018</stp>
        <stp>高値</stp>
        <tr r="BD180" s="1"/>
      </tp>
      <tp>
        <v>0</v>
        <stp/>
        <stp>Market</stp>
        <stp>FOP</stp>
        <stp>181364518</stp>
        <stp>高値</stp>
        <tr r="BX139" s="1"/>
      </tp>
      <tp>
        <v>0</v>
        <stp/>
        <stp>Market</stp>
        <stp>FOP</stp>
        <stp>191365518</stp>
        <stp>高値</stp>
        <tr r="BD141" s="1"/>
      </tp>
      <tp>
        <v>0</v>
        <stp/>
        <stp>Market</stp>
        <stp>FOP</stp>
        <stp>141238518</stp>
        <stp>高値</stp>
        <tr r="BD57" s="1"/>
      </tp>
      <tp>
        <v>130</v>
        <stp/>
        <stp>Market</stp>
        <stp>FOP</stp>
        <stp>191235518</stp>
        <stp>高値</stp>
        <tr r="BD71" s="1"/>
      </tp>
      <tp>
        <v>1410</v>
        <stp/>
        <stp>Market</stp>
        <stp>FOP</stp>
        <stp>141359018</stp>
        <stp>高値</stp>
        <tr r="BD58" s="1"/>
      </tp>
      <tp>
        <v>0</v>
        <stp/>
        <stp>Market</stp>
        <stp>FOP</stp>
        <stp>181365018</stp>
        <stp>高値</stp>
        <tr r="BX140" s="1"/>
      </tp>
      <tp>
        <v>94</v>
        <stp/>
        <stp>Market</stp>
        <stp>FOP</stp>
        <stp>181115018</stp>
        <stp>高値</stp>
        <tr r="BX30" s="1"/>
      </tp>
      <tp>
        <v>0</v>
        <stp/>
        <stp>Market</stp>
        <stp>FOP</stp>
        <stp>141489018</stp>
        <stp>高値</stp>
        <tr r="BD168" s="1"/>
      </tp>
      <tp>
        <v>0</v>
        <stp/>
        <stp>Market</stp>
        <stp>FOP</stp>
        <stp>191484018</stp>
        <stp>高値</stp>
        <tr r="BD178" s="1"/>
      </tp>
      <tp>
        <v>0</v>
        <stp/>
        <stp>Market</stp>
        <stp>FOP</stp>
        <stp>181365518</stp>
        <stp>高値</stp>
        <tr r="BX141" s="1"/>
      </tp>
      <tp>
        <v>0</v>
        <stp/>
        <stp>Market</stp>
        <stp>FOP</stp>
        <stp>141239518</stp>
        <stp>高値</stp>
        <tr r="BD59" s="1"/>
      </tp>
      <tp>
        <v>0</v>
        <stp/>
        <stp>Market</stp>
        <stp>FOP</stp>
        <stp>191234518</stp>
        <stp>高値</stp>
        <tr r="BD69" s="1"/>
      </tp>
      <tp>
        <v>0</v>
        <stp/>
        <stp>Market</stp>
        <stp>FOP</stp>
        <stp>181115518</stp>
        <stp>高値</stp>
        <tr r="BX31" s="1"/>
      </tp>
      <tp>
        <v>30.41</v>
        <stp/>
        <stp>Market</stp>
        <stp>INDEX</stp>
        <stp>NVI</stp>
        <stp>前日終値</stp>
        <tr r="BF8" s="1"/>
      </tp>
      <tp>
        <v>68</v>
        <stp/>
        <stp>Market</stp>
        <stp>FOP</stp>
        <stp>191357018</stp>
        <stp>高値</stp>
        <tr r="BD74" s="1"/>
      </tp>
      <tp>
        <v>0</v>
        <stp/>
        <stp>Market</stp>
        <stp>FOP</stp>
        <stp>181366018</stp>
        <stp>高値</stp>
        <tr r="BX142" s="1"/>
      </tp>
      <tp>
        <v>0</v>
        <stp/>
        <stp>Market</stp>
        <stp>FOP</stp>
        <stp>191367018</stp>
        <stp>高値</stp>
        <tr r="BD144" s="1"/>
      </tp>
      <tp>
        <v>0</v>
        <stp/>
        <stp>Market</stp>
        <stp>FOP</stp>
        <stp>181246018</stp>
        <stp>高値</stp>
        <tr r="BX102" s="1"/>
      </tp>
      <tp>
        <v>1100</v>
        <stp/>
        <stp>Market</stp>
        <stp>FOP</stp>
        <stp>181236018</stp>
        <stp>高値</stp>
        <tr r="BX52" s="1"/>
      </tp>
      <tp>
        <v>0</v>
        <stp/>
        <stp>Market</stp>
        <stp>FOP</stp>
        <stp>181116018</stp>
        <stp>高値</stp>
        <tr r="BX12" s="1"/>
      </tp>
      <tp>
        <v>0</v>
        <stp/>
        <stp>Market</stp>
        <stp>FOP</stp>
        <stp>181366518</stp>
        <stp>高値</stp>
        <tr r="BX143" s="1"/>
      </tp>
      <tp>
        <v>0</v>
        <stp/>
        <stp>Market</stp>
        <stp>FOP</stp>
        <stp>191367518</stp>
        <stp>高値</stp>
        <tr r="BD165" s="1"/>
      </tp>
      <tp>
        <v>0</v>
        <stp/>
        <stp>Market</stp>
        <stp>FOP</stp>
        <stp>181246518</stp>
        <stp>高値</stp>
        <tr r="BX103" s="1"/>
      </tp>
      <tp>
        <v>0</v>
        <stp/>
        <stp>Market</stp>
        <stp>FOP</stp>
        <stp>191237518</stp>
        <stp>高値</stp>
        <tr r="BD55" s="1"/>
      </tp>
      <tp>
        <v>0</v>
        <stp/>
        <stp>Market</stp>
        <stp>FOP</stp>
        <stp>181116518</stp>
        <stp>高値</stp>
        <tr r="BX33" s="1"/>
      </tp>
      <tp>
        <v>0</v>
        <stp/>
        <stp>Market</stp>
        <stp>FOP</stp>
        <stp>191487518</stp>
        <stp>高値</stp>
        <tr r="BD185" s="1"/>
      </tp>
      <tp>
        <v>107</v>
        <stp/>
        <stp>Market</stp>
        <stp>FOP</stp>
        <stp>191356018</stp>
        <stp>高値</stp>
        <tr r="BD72" s="1"/>
      </tp>
      <tp>
        <v>0</v>
        <stp/>
        <stp>Market</stp>
        <stp>FOP</stp>
        <stp>181367018</stp>
        <stp>高値</stp>
        <tr r="BX144" s="1"/>
      </tp>
      <tp>
        <v>0</v>
        <stp/>
        <stp>Market</stp>
        <stp>FOP</stp>
        <stp>191366018</stp>
        <stp>高値</stp>
        <tr r="BD142" s="1"/>
      </tp>
      <tp>
        <v>80</v>
        <stp/>
        <stp>Market</stp>
        <stp>FOP</stp>
        <stp>181247018</stp>
        <stp>高値</stp>
        <tr r="BX104" s="1"/>
      </tp>
      <tp>
        <v>0</v>
        <stp/>
        <stp>Market</stp>
        <stp>FOP</stp>
        <stp>191236018</stp>
        <stp>高値</stp>
        <tr r="BD52" s="1"/>
      </tp>
      <tp>
        <v>0</v>
        <stp/>
        <stp>Market</stp>
        <stp>FOP</stp>
        <stp>181117018</stp>
        <stp>高値</stp>
        <tr r="BX14" s="1"/>
      </tp>
      <tp>
        <v>0</v>
        <stp/>
        <stp>Market</stp>
        <stp>FOP</stp>
        <stp>191366518</stp>
        <stp>高値</stp>
        <tr r="BD143" s="1"/>
      </tp>
      <tp>
        <v>0</v>
        <stp/>
        <stp>Market</stp>
        <stp>FOP</stp>
        <stp>181247518</stp>
        <stp>高値</stp>
        <tr r="BX105" s="1"/>
      </tp>
      <tp>
        <v>0</v>
        <stp/>
        <stp>Market</stp>
        <stp>FOP</stp>
        <stp>181237518</stp>
        <stp>高値</stp>
        <tr r="BX55" s="1"/>
      </tp>
      <tp>
        <v>0</v>
        <stp/>
        <stp>Market</stp>
        <stp>FOP</stp>
        <stp>191236518</stp>
        <stp>高値</stp>
        <tr r="BD73" s="1"/>
      </tp>
      <tp>
        <v>0</v>
        <stp/>
        <stp>Market</stp>
        <stp>FOP</stp>
        <stp>181117518</stp>
        <stp>高値</stp>
        <tr r="BX35" s="1"/>
      </tp>
    </main>
    <main first="rtdsrv.48cf1ad348244608b72d359ebfbe4e5c">
      <tp>
        <v>0</v>
        <stp/>
        <stp>Market</stp>
        <stp>FOP</stp>
        <stp>181360018</stp>
        <stp>高値</stp>
        <tr r="BX150" s="1"/>
      </tp>
      <tp>
        <v>0</v>
        <stp/>
        <stp>Market</stp>
        <stp>FOP</stp>
        <stp>191361018</stp>
        <stp>高値</stp>
        <tr r="BD152" s="1"/>
      </tp>
      <tp>
        <v>132</v>
        <stp/>
        <stp>Market</stp>
        <stp>FOP</stp>
        <stp>181240018</stp>
        <stp>高値</stp>
        <tr r="BX110" s="1"/>
      </tp>
      <tp>
        <v>45</v>
        <stp/>
        <stp>Market</stp>
        <stp>FOP</stp>
        <stp>181110018</stp>
        <stp>高値</stp>
        <tr r="BX20" s="1"/>
      </tp>
      <tp>
        <v>0</v>
        <stp/>
        <stp>Market</stp>
        <stp>FOP</stp>
        <stp>181360518</stp>
        <stp>高値</stp>
        <tr r="BX151" s="1"/>
      </tp>
      <tp>
        <v>0</v>
        <stp/>
        <stp>Market</stp>
        <stp>FOP</stp>
        <stp>191361518</stp>
        <stp>高値</stp>
        <tr r="BD153" s="1"/>
      </tp>
      <tp>
        <v>0</v>
        <stp/>
        <stp>Market</stp>
        <stp>FOP</stp>
        <stp>181240518</stp>
        <stp>高値</stp>
        <tr r="BX111" s="1"/>
      </tp>
      <tp>
        <v>0</v>
        <stp/>
        <stp>Market</stp>
        <stp>FOP</stp>
        <stp>181110518</stp>
        <stp>高値</stp>
        <tr r="BX41" s="1"/>
      </tp>
    </main>
    <main first="rtdsrv.48cf1ad348244608b72d359ebfbe4e5c">
      <tp>
        <v>17</v>
        <stp/>
        <stp>Market</stp>
        <stp>FOP</stp>
        <stp>191350018</stp>
        <stp>高値</stp>
        <tr r="BD80" s="1"/>
      </tp>
      <tp>
        <v>0</v>
        <stp/>
        <stp>Market</stp>
        <stp>FOP</stp>
        <stp>181361018</stp>
        <stp>高値</stp>
        <tr r="BX152" s="1"/>
      </tp>
      <tp>
        <v>0</v>
        <stp/>
        <stp>Market</stp>
        <stp>FOP</stp>
        <stp>191360018</stp>
        <stp>高値</stp>
        <tr r="BD150" s="1"/>
      </tp>
      <tp>
        <v>0</v>
        <stp/>
        <stp>Market</stp>
        <stp>FOP</stp>
        <stp>181241018</stp>
        <stp>高値</stp>
        <tr r="BX112" s="1"/>
      </tp>
      <tp>
        <v>54</v>
        <stp/>
        <stp>Market</stp>
        <stp>FOP</stp>
        <stp>181111018</stp>
        <stp>高値</stp>
        <tr r="BX22" s="1"/>
      </tp>
      <tp>
        <v>6</v>
        <stp/>
        <stp>Market</stp>
        <stp>FOP</stp>
        <stp>191480018</stp>
        <stp>高値</stp>
        <tr r="BD190" s="1"/>
      </tp>
      <tp>
        <v>0</v>
        <stp/>
        <stp>Market</stp>
        <stp>FOP</stp>
        <stp>191360518</stp>
        <stp>高値</stp>
        <tr r="BD151" s="1"/>
      </tp>
      <tp>
        <v>0</v>
        <stp/>
        <stp>Market</stp>
        <stp>FOP</stp>
        <stp>181241518</stp>
        <stp>高値</stp>
        <tr r="BX113" s="1"/>
      </tp>
      <tp>
        <v>0</v>
        <stp/>
        <stp>Market</stp>
        <stp>FOP</stp>
        <stp>181111518</stp>
        <stp>高値</stp>
        <tr r="BX43" s="1"/>
      </tp>
      <tp>
        <v>2360</v>
        <stp/>
        <stp>Market</stp>
        <stp>FOP</stp>
        <stp>131359018</stp>
        <stp>高値</stp>
        <tr r="BX58" s="1"/>
      </tp>
      <tp>
        <v>490</v>
        <stp/>
        <stp>Market</stp>
        <stp>FOP</stp>
        <stp>131369018</stp>
        <stp>高値</stp>
        <tr r="BX128" s="1"/>
      </tp>
      <tp>
        <v>0</v>
        <stp/>
        <stp>Market</stp>
        <stp>FOP</stp>
        <stp>181242018</stp>
        <stp>高値</stp>
        <tr r="BX114" s="1"/>
      </tp>
      <tp>
        <v>190</v>
        <stp/>
        <stp>Market</stp>
        <stp>FOP</stp>
        <stp>131239018</stp>
        <stp>高値</stp>
        <tr r="BX38" s="1"/>
      </tp>
      <tp>
        <v>62</v>
        <stp/>
        <stp>Market</stp>
        <stp>FOP</stp>
        <stp>181112018</stp>
        <stp>高値</stp>
        <tr r="BX24" s="1"/>
      </tp>
      <tp>
        <v>47</v>
        <stp/>
        <stp>Market</stp>
        <stp>FOP</stp>
        <stp>191483018</stp>
        <stp>高値</stp>
        <tr r="BD176" s="1"/>
      </tp>
      <tp>
        <v>0</v>
        <stp/>
        <stp>Market</stp>
        <stp>FOP</stp>
        <stp>131369518</stp>
        <stp>高値</stp>
        <tr r="BX129" s="1"/>
      </tp>
      <tp>
        <v>0</v>
        <stp/>
        <stp>Market</stp>
        <stp>FOP</stp>
        <stp>181362518</stp>
        <stp>高値</stp>
        <tr r="BX115" s="1"/>
      </tp>
      <tp>
        <v>0</v>
        <stp/>
        <stp>Market</stp>
        <stp>FOP</stp>
        <stp>181242518</stp>
        <stp>高値</stp>
        <tr r="BX135" s="1"/>
      </tp>
      <tp>
        <v>0</v>
        <stp/>
        <stp>Market</stp>
        <stp>FOP</stp>
        <stp>131239518</stp>
        <stp>高値</stp>
        <tr r="BX59" s="1"/>
      </tp>
      <tp>
        <v>0</v>
        <stp/>
        <stp>Market</stp>
        <stp>FOP</stp>
        <stp>131119518</stp>
        <stp>高値</stp>
        <tr r="BX19" s="1"/>
      </tp>
      <tp>
        <v>1825</v>
        <stp/>
        <stp>Market</stp>
        <stp>FOP</stp>
        <stp>131358018</stp>
        <stp>高値</stp>
        <tr r="BX56" s="1"/>
      </tp>
      <tp>
        <v>0</v>
        <stp/>
        <stp>Market</stp>
        <stp>FOP</stp>
        <stp>131368018</stp>
        <stp>高値</stp>
        <tr r="BX126" s="1"/>
      </tp>
      <tp>
        <v>0</v>
        <stp/>
        <stp>Market</stp>
        <stp>FOP</stp>
        <stp>181363018</stp>
        <stp>高値</stp>
        <tr r="BX136" s="1"/>
      </tp>
      <tp>
        <v>0</v>
        <stp/>
        <stp>Market</stp>
        <stp>FOP</stp>
        <stp>191362018</stp>
        <stp>高値</stp>
        <tr r="BD154" s="1"/>
      </tp>
      <tp>
        <v>166</v>
        <stp/>
        <stp>Market</stp>
        <stp>FOP</stp>
        <stp>131238018</stp>
        <stp>高値</stp>
        <tr r="BX36" s="1"/>
      </tp>
      <tp>
        <v>67</v>
        <stp/>
        <stp>Market</stp>
        <stp>FOP</stp>
        <stp>181113018</stp>
        <stp>高値</stp>
        <tr r="BX26" s="1"/>
      </tp>
      <tp>
        <v>0</v>
        <stp/>
        <stp>Market</stp>
        <stp>FOP</stp>
        <stp>131368518</stp>
        <stp>高値</stp>
        <tr r="BX127" s="1"/>
      </tp>
      <tp>
        <v>0</v>
        <stp/>
        <stp>Market</stp>
        <stp>FOP</stp>
        <stp>181363518</stp>
        <stp>高値</stp>
        <tr r="BX137" s="1"/>
      </tp>
      <tp>
        <v>0</v>
        <stp/>
        <stp>Market</stp>
        <stp>FOP</stp>
        <stp>131238518</stp>
        <stp>高値</stp>
        <tr r="BX57" s="1"/>
      </tp>
      <tp>
        <v>6</v>
        <stp/>
        <stp>Market</stp>
        <stp>FOP</stp>
        <stp>191232518</stp>
        <stp>高値</stp>
        <tr r="BD85" s="1"/>
      </tp>
      <tp>
        <v>0</v>
        <stp/>
        <stp>Market</stp>
        <stp>FOP</stp>
        <stp>131118518</stp>
        <stp>高値</stp>
        <tr r="BX17" s="1"/>
      </tp>
      <tp>
        <v>0</v>
        <stp/>
        <stp>Market</stp>
        <stp>FOP</stp>
        <stp>181113518</stp>
        <stp>高値</stp>
        <tr r="BX47" s="1"/>
      </tp>
      <tp>
        <v>415</v>
        <stp/>
        <stp>Market</stp>
        <stp>FOP</stp>
        <stp>191112518</stp>
        <stp>高値</stp>
        <tr r="BD65" s="1"/>
      </tp>
      <tp>
        <v>0</v>
        <stp/>
        <stp>Market</stp>
        <stp>FOP</stp>
        <stp>191482518</stp>
        <stp>高値</stp>
        <tr r="BD175" s="1"/>
      </tp>
    </main>
    <main first="rtdsrv.48cf1ad348244608b72d359ebfbe4e5c">
      <tp>
        <v>1</v>
        <stp/>
        <stp>Market</stp>
        <stp>FOP</stp>
        <stp>141470018</stp>
        <stp>前日終値</stp>
        <tr r="BF100" s="1"/>
      </tp>
      <tp>
        <v>2</v>
        <stp/>
        <stp>Market</stp>
        <stp>FOP</stp>
        <stp>141475018</stp>
        <stp>前日終値</stp>
        <tr r="BF90" s="1"/>
      </tp>
    </main>
    <main first="rtdsrv.48cf1ad348244608b72d359ebfbe4e5c">
      <tp>
        <v>15</v>
        <stp/>
        <stp>Market</stp>
        <stp>FOP</stp>
        <stp>191487518</stp>
        <stp>前日終値</stp>
        <tr r="BF185" s="1"/>
      </tp>
      <tp>
        <v>252</v>
        <stp/>
        <stp>Market</stp>
        <stp>FOP</stp>
        <stp>141488018</stp>
        <stp>前日終値</stp>
        <tr r="BF166" s="1"/>
      </tp>
      <tp>
        <v>25</v>
        <stp/>
        <stp>Market</stp>
        <stp>FOP</stp>
        <stp>191485018</stp>
        <stp>前日終値</stp>
        <tr r="BF180" s="1"/>
      </tp>
      <tp>
        <v>177</v>
        <stp/>
        <stp>Market</stp>
        <stp>FOP</stp>
        <stp>141489018</stp>
        <stp>前日終値</stp>
        <tr r="BF168" s="1"/>
      </tp>
      <tp>
        <v>42</v>
        <stp/>
        <stp>Market</stp>
        <stp>FOP</stp>
        <stp>191484018</stp>
        <stp>前日終値</stp>
        <tr r="BF178" s="1"/>
      </tp>
      <tp>
        <v>50</v>
        <stp/>
        <stp>Market</stp>
        <stp>FOP</stp>
        <stp>191483018</stp>
        <stp>前日終値</stp>
        <tr r="BF176" s="1"/>
      </tp>
      <tp>
        <v>61</v>
        <stp/>
        <stp>Market</stp>
        <stp>FOP</stp>
        <stp>191482518</stp>
        <stp>前日終値</stp>
        <tr r="BF175" s="1"/>
      </tp>
      <tp>
        <v>6</v>
        <stp/>
        <stp>Market</stp>
        <stp>FOP</stp>
        <stp>191480018</stp>
        <stp>前日終値</stp>
        <tr r="BF190" s="1"/>
      </tp>
      <tp>
        <v>69</v>
        <stp/>
        <stp>Market</stp>
        <stp>FOP</stp>
        <stp>141482018</stp>
        <stp>前日終値</stp>
        <tr r="BF174" s="1"/>
      </tp>
      <tp>
        <v>995</v>
        <stp/>
        <stp>Market</stp>
        <stp>FOP</stp>
        <stp>141482518</stp>
        <stp>前日終値</stp>
        <tr r="BF155" s="1"/>
      </tp>
      <tp>
        <v>880</v>
        <stp/>
        <stp>Market</stp>
        <stp>FOP</stp>
        <stp>141483018</stp>
        <stp>前日終値</stp>
        <tr r="BF156" s="1"/>
      </tp>
      <tp>
        <v>850</v>
        <stp/>
        <stp>Market</stp>
        <stp>FOP</stp>
        <stp>141483518</stp>
        <stp>前日終値</stp>
        <tr r="BF157" s="1"/>
      </tp>
      <tp>
        <v>120</v>
        <stp/>
        <stp>Market</stp>
        <stp>FOP</stp>
        <stp>141480018</stp>
        <stp>前日終値</stp>
        <tr r="BF170" s="1"/>
      </tp>
      <tp>
        <v>2205</v>
        <stp/>
        <stp>Market</stp>
        <stp>FOP</stp>
        <stp>131487518</stp>
        <stp>前日終値</stp>
        <tr r="BZ145" s="1"/>
      </tp>
      <tp>
        <v>93</v>
        <stp/>
        <stp>Market</stp>
        <stp>FOP</stp>
        <stp>141481018</stp>
        <stp>前日終値</stp>
        <tr r="BF172" s="1"/>
      </tp>
      <tp>
        <v>415</v>
        <stp/>
        <stp>Market</stp>
        <stp>FOP</stp>
        <stp>141486018</stp>
        <stp>前日終値</stp>
        <tr r="BF162" s="1"/>
      </tp>
      <tp>
        <v>293</v>
        <stp/>
        <stp>Market</stp>
        <stp>FOP</stp>
        <stp>141487018</stp>
        <stp>前日終値</stp>
        <tr r="BF164" s="1"/>
      </tp>
      <tp>
        <v>3795</v>
        <stp/>
        <stp>Market</stp>
        <stp>FOP</stp>
        <stp>141487518</stp>
        <stp>前日終値</stp>
        <tr r="BF145" s="1"/>
      </tp>
      <tp>
        <v>690</v>
        <stp/>
        <stp>Market</stp>
        <stp>FOP</stp>
        <stp>141484018</stp>
        <stp>前日終値</stp>
        <tr r="BF158" s="1"/>
      </tp>
      <tp>
        <v>915</v>
        <stp/>
        <stp>Market</stp>
        <stp>FOP</stp>
        <stp>141484518</stp>
        <stp>前日終値</stp>
        <tr r="BF159" s="1"/>
      </tp>
      <tp>
        <v>535</v>
        <stp/>
        <stp>Market</stp>
        <stp>FOP</stp>
        <stp>141485018</stp>
        <stp>前日終値</stp>
        <tr r="BF160" s="1"/>
      </tp>
      <tp>
        <v>950</v>
        <stp/>
        <stp>Market</stp>
        <stp>FOP</stp>
        <stp>141485518</stp>
        <stp>前日終値</stp>
        <tr r="BF161" s="1"/>
      </tp>
    </main>
    <main first="rtdsrv.48cf1ad348244608b72d359ebfbe4e5c">
      <tp>
        <v>1675</v>
        <stp/>
        <stp>Market</stp>
        <stp>FOP</stp>
        <stp>181366018</stp>
        <stp>前日終値</stp>
        <tr r="BZ142" s="1"/>
      </tp>
      <tp>
        <v>4110</v>
        <stp/>
        <stp>Market</stp>
        <stp>FOP</stp>
        <stp>191367018</stp>
        <stp>前日終値</stp>
        <tr r="BF144" s="1"/>
      </tp>
      <tp>
        <v>0</v>
        <stp/>
        <stp>Market</stp>
        <stp>FOP</stp>
        <stp>181366518</stp>
        <stp>前日終値</stp>
        <tr r="BZ143" s="1"/>
      </tp>
      <tp>
        <v>282</v>
        <stp/>
        <stp>Market</stp>
        <stp>FOP</stp>
        <stp>191367518</stp>
        <stp>前日終値</stp>
        <tr r="BF165" s="1"/>
      </tp>
      <tp>
        <v>2115</v>
        <stp/>
        <stp>Market</stp>
        <stp>FOP</stp>
        <stp>181367018</stp>
        <stp>前日終値</stp>
        <tr r="BZ144" s="1"/>
      </tp>
      <tp>
        <v>5750</v>
        <stp/>
        <stp>Market</stp>
        <stp>FOP</stp>
        <stp>191366018</stp>
        <stp>前日終値</stp>
        <tr r="BF142" s="1"/>
      </tp>
      <tp>
        <v>5340</v>
        <stp/>
        <stp>Market</stp>
        <stp>FOP</stp>
        <stp>191366518</stp>
        <stp>前日終値</stp>
        <tr r="BF143" s="1"/>
      </tp>
      <tp>
        <v>1145</v>
        <stp/>
        <stp>Market</stp>
        <stp>FOP</stp>
        <stp>181364018</stp>
        <stp>前日終値</stp>
        <tr r="BZ138" s="1"/>
      </tp>
      <tp>
        <v>3025</v>
        <stp/>
        <stp>Market</stp>
        <stp>FOP</stp>
        <stp>191365018</stp>
        <stp>前日終値</stp>
        <tr r="BF140" s="1"/>
      </tp>
      <tp>
        <v>1140</v>
        <stp/>
        <stp>Market</stp>
        <stp>FOP</stp>
        <stp>181364518</stp>
        <stp>前日終値</stp>
        <tr r="BZ139" s="1"/>
      </tp>
      <tp>
        <v>2665</v>
        <stp/>
        <stp>Market</stp>
        <stp>FOP</stp>
        <stp>191365518</stp>
        <stp>前日終値</stp>
        <tr r="BF141" s="1"/>
      </tp>
      <tp>
        <v>1465</v>
        <stp/>
        <stp>Market</stp>
        <stp>FOP</stp>
        <stp>181365018</stp>
        <stp>前日終値</stp>
        <tr r="BZ140" s="1"/>
      </tp>
      <tp>
        <v>1825</v>
        <stp/>
        <stp>Market</stp>
        <stp>FOP</stp>
        <stp>181365518</stp>
        <stp>前日終値</stp>
        <tr r="BZ141" s="1"/>
      </tp>
      <tp>
        <v>465</v>
        <stp/>
        <stp>Market</stp>
        <stp>FOP</stp>
        <stp>131369018</stp>
        <stp>前日終値</stp>
        <tr r="BZ128" s="1"/>
      </tp>
      <tp>
        <v>550</v>
        <stp/>
        <stp>Market</stp>
        <stp>FOP</stp>
        <stp>131369518</stp>
        <stp>前日終値</stp>
        <tr r="BZ129" s="1"/>
      </tp>
      <tp>
        <v>159</v>
        <stp/>
        <stp>Market</stp>
        <stp>FOP</stp>
        <stp>181362518</stp>
        <stp>前日終値</stp>
        <tr r="BZ115" s="1"/>
      </tp>
      <tp>
        <v>365</v>
        <stp/>
        <stp>Market</stp>
        <stp>FOP</stp>
        <stp>131368018</stp>
        <stp>前日終値</stp>
        <tr r="BZ126" s="1"/>
      </tp>
      <tp>
        <v>1065</v>
        <stp/>
        <stp>Market</stp>
        <stp>FOP</stp>
        <stp>181363018</stp>
        <stp>前日終値</stp>
        <tr r="BZ136" s="1"/>
      </tp>
      <tp>
        <v>1225</v>
        <stp/>
        <stp>Market</stp>
        <stp>FOP</stp>
        <stp>191362018</stp>
        <stp>前日終値</stp>
        <tr r="BF154" s="1"/>
      </tp>
      <tp>
        <v>485</v>
        <stp/>
        <stp>Market</stp>
        <stp>FOP</stp>
        <stp>131368518</stp>
        <stp>前日終値</stp>
        <tr r="BZ127" s="1"/>
      </tp>
      <tp>
        <v>1150</v>
        <stp/>
        <stp>Market</stp>
        <stp>FOP</stp>
        <stp>181363518</stp>
        <stp>前日終値</stp>
        <tr r="BZ137" s="1"/>
      </tp>
      <tp>
        <v>2880</v>
        <stp/>
        <stp>Market</stp>
        <stp>FOP</stp>
        <stp>181360018</stp>
        <stp>前日終値</stp>
        <tr r="BZ150" s="1"/>
      </tp>
      <tp>
        <v>1490</v>
        <stp/>
        <stp>Market</stp>
        <stp>FOP</stp>
        <stp>191361018</stp>
        <stp>前日終値</stp>
        <tr r="BF152" s="1"/>
      </tp>
      <tp>
        <v>6120</v>
        <stp/>
        <stp>Market</stp>
        <stp>FOP</stp>
        <stp>181360518</stp>
        <stp>前日終値</stp>
        <tr r="BZ151" s="1"/>
      </tp>
      <tp>
        <v>1635</v>
        <stp/>
        <stp>Market</stp>
        <stp>FOP</stp>
        <stp>191361518</stp>
        <stp>前日終値</stp>
        <tr r="BF153" s="1"/>
      </tp>
      <tp>
        <v>3700</v>
        <stp/>
        <stp>Market</stp>
        <stp>FOP</stp>
        <stp>181361018</stp>
        <stp>前日終値</stp>
        <tr r="BZ152" s="1"/>
      </tp>
      <tp>
        <v>1825</v>
        <stp/>
        <stp>Market</stp>
        <stp>FOP</stp>
        <stp>191360018</stp>
        <stp>前日終値</stp>
        <tr r="BF150" s="1"/>
      </tp>
      <tp>
        <v>2350</v>
        <stp/>
        <stp>Market</stp>
        <stp>FOP</stp>
        <stp>191360518</stp>
        <stp>前日終値</stp>
        <tr r="BF151" s="1"/>
      </tp>
      <tp>
        <v>241</v>
        <stp/>
        <stp>Market</stp>
        <stp>FOP</stp>
        <stp>131365018</stp>
        <stp>前日終値</stp>
        <tr r="BZ120" s="1"/>
      </tp>
      <tp>
        <v>325</v>
        <stp/>
        <stp>Market</stp>
        <stp>FOP</stp>
        <stp>131365518</stp>
        <stp>前日終値</stp>
        <tr r="BZ121" s="1"/>
      </tp>
      <tp>
        <v>207</v>
        <stp/>
        <stp>Market</stp>
        <stp>FOP</stp>
        <stp>131364018</stp>
        <stp>前日終値</stp>
        <tr r="BZ118" s="1"/>
      </tp>
      <tp>
        <v>209</v>
        <stp/>
        <stp>Market</stp>
        <stp>FOP</stp>
        <stp>131364518</stp>
        <stp>前日終値</stp>
        <tr r="BZ119" s="1"/>
      </tp>
      <tp>
        <v>320</v>
        <stp/>
        <stp>Market</stp>
        <stp>FOP</stp>
        <stp>131367018</stp>
        <stp>前日終値</stp>
        <tr r="BZ124" s="1"/>
      </tp>
      <tp>
        <v>345</v>
        <stp/>
        <stp>Market</stp>
        <stp>FOP</stp>
        <stp>131367518</stp>
        <stp>前日終値</stp>
        <tr r="BZ125" s="1"/>
      </tp>
      <tp>
        <v>287</v>
        <stp/>
        <stp>Market</stp>
        <stp>FOP</stp>
        <stp>131366018</stp>
        <stp>前日終値</stp>
        <tr r="BZ122" s="1"/>
      </tp>
      <tp>
        <v>340</v>
        <stp/>
        <stp>Market</stp>
        <stp>FOP</stp>
        <stp>131366518</stp>
        <stp>前日終値</stp>
        <tr r="BZ123" s="1"/>
      </tp>
      <tp>
        <v>650</v>
        <stp/>
        <stp>Market</stp>
        <stp>FOP</stp>
        <stp>131361018</stp>
        <stp>前日終値</stp>
        <tr r="BZ132" s="1"/>
      </tp>
      <tp>
        <v>700</v>
        <stp/>
        <stp>Market</stp>
        <stp>FOP</stp>
        <stp>131361518</stp>
        <stp>前日終値</stp>
        <tr r="BZ133" s="1"/>
      </tp>
      <tp>
        <v>560</v>
        <stp/>
        <stp>Market</stp>
        <stp>FOP</stp>
        <stp>131360018</stp>
        <stp>前日終値</stp>
        <tr r="BZ130" s="1"/>
      </tp>
      <tp>
        <v>550</v>
        <stp/>
        <stp>Market</stp>
        <stp>FOP</stp>
        <stp>131360518</stp>
        <stp>前日終値</stp>
        <tr r="BZ131" s="1"/>
      </tp>
      <tp>
        <v>179</v>
        <stp/>
        <stp>Market</stp>
        <stp>FOP</stp>
        <stp>131363018</stp>
        <stp>前日終値</stp>
        <tr r="BZ116" s="1"/>
      </tp>
      <tp>
        <v>2650</v>
        <stp/>
        <stp>Market</stp>
        <stp>FOP</stp>
        <stp>181368018</stp>
        <stp>前日終値</stp>
        <tr r="BZ146" s="1"/>
      </tp>
      <tp>
        <v>2300</v>
        <stp/>
        <stp>Market</stp>
        <stp>FOP</stp>
        <stp>191369018</stp>
        <stp>前日終値</stp>
        <tr r="BF148" s="1"/>
      </tp>
      <tp>
        <v>205</v>
        <stp/>
        <stp>Market</stp>
        <stp>FOP</stp>
        <stp>131363518</stp>
        <stp>前日終値</stp>
        <tr r="BZ117" s="1"/>
      </tp>
      <tp>
        <v>2480</v>
        <stp/>
        <stp>Market</stp>
        <stp>FOP</stp>
        <stp>181368518</stp>
        <stp>前日終値</stp>
        <tr r="BZ147" s="1"/>
      </tp>
      <tp>
        <v>3140</v>
        <stp/>
        <stp>Market</stp>
        <stp>FOP</stp>
        <stp>191369518</stp>
        <stp>前日終値</stp>
        <tr r="BF149" s="1"/>
      </tp>
      <tp>
        <v>790</v>
        <stp/>
        <stp>Market</stp>
        <stp>FOP</stp>
        <stp>131362018</stp>
        <stp>前日終値</stp>
        <tr r="BZ134" s="1"/>
      </tp>
      <tp>
        <v>2645</v>
        <stp/>
        <stp>Market</stp>
        <stp>FOP</stp>
        <stp>181369018</stp>
        <stp>前日終値</stp>
        <tr r="BZ148" s="1"/>
      </tp>
      <tp>
        <v>2795</v>
        <stp/>
        <stp>Market</stp>
        <stp>FOP</stp>
        <stp>191368018</stp>
        <stp>前日終値</stp>
        <tr r="BF146" s="1"/>
      </tp>
      <tp>
        <v>3035</v>
        <stp/>
        <stp>Market</stp>
        <stp>FOP</stp>
        <stp>181369518</stp>
        <stp>前日終値</stp>
        <tr r="BZ149" s="1"/>
      </tp>
      <tp>
        <v>3020</v>
        <stp/>
        <stp>Market</stp>
        <stp>FOP</stp>
        <stp>191368518</stp>
        <stp>前日終値</stp>
        <tr r="BF147" s="1"/>
      </tp>
      <tp>
        <v>60</v>
        <stp/>
        <stp>Market</stp>
        <stp>FOP</stp>
        <stp>191357018</stp>
        <stp>前日終値</stp>
        <tr r="BF74" s="1"/>
      </tp>
      <tp>
        <v>91</v>
        <stp/>
        <stp>Market</stp>
        <stp>FOP</stp>
        <stp>191356018</stp>
        <stp>前日終値</stp>
        <tr r="BF72" s="1"/>
      </tp>
      <tp>
        <v>1915</v>
        <stp/>
        <stp>Market</stp>
        <stp>FOP</stp>
        <stp>141358018</stp>
        <stp>前日終値</stp>
        <tr r="BF56" s="1"/>
      </tp>
      <tp>
        <v>148</v>
        <stp/>
        <stp>Market</stp>
        <stp>FOP</stp>
        <stp>191355018</stp>
        <stp>前日終値</stp>
        <tr r="BF70" s="1"/>
      </tp>
      <tp>
        <v>1460</v>
        <stp/>
        <stp>Market</stp>
        <stp>FOP</stp>
        <stp>141359018</stp>
        <stp>前日終値</stp>
        <tr r="BF58" s="1"/>
      </tp>
      <tp>
        <v>2430</v>
        <stp/>
        <stp>Market</stp>
        <stp>FOP</stp>
        <stp>131359018</stp>
        <stp>前日終値</stp>
        <tr r="BZ58" s="1"/>
      </tp>
      <tp>
        <v>1945</v>
        <stp/>
        <stp>Market</stp>
        <stp>FOP</stp>
        <stp>131358018</stp>
        <stp>前日終値</stp>
        <tr r="BZ56" s="1"/>
      </tp>
      <tp>
        <v>15</v>
        <stp/>
        <stp>Market</stp>
        <stp>FOP</stp>
        <stp>191350018</stp>
        <stp>前日終値</stp>
        <tr r="BF80" s="1"/>
      </tp>
      <tp>
        <v>515</v>
        <stp/>
        <stp>Market</stp>
        <stp>FOP</stp>
        <stp>141352018</stp>
        <stp>前日終値</stp>
        <tr r="BF64" s="1"/>
      </tp>
      <tp>
        <v>340</v>
        <stp/>
        <stp>Market</stp>
        <stp>FOP</stp>
        <stp>141353018</stp>
        <stp>前日終値</stp>
        <tr r="BF66" s="1"/>
      </tp>
      <tp>
        <v>1500</v>
        <stp/>
        <stp>Market</stp>
        <stp>FOP</stp>
        <stp>131357018</stp>
        <stp>前日終値</stp>
        <tr r="BZ54" s="1"/>
      </tp>
      <tp>
        <v>1030</v>
        <stp/>
        <stp>Market</stp>
        <stp>FOP</stp>
        <stp>141350018</stp>
        <stp>前日終値</stp>
        <tr r="BF60" s="1"/>
      </tp>
      <tp>
        <v>710</v>
        <stp/>
        <stp>Market</stp>
        <stp>FOP</stp>
        <stp>141351018</stp>
        <stp>前日終値</stp>
        <tr r="BF62" s="1"/>
      </tp>
      <tp>
        <v>2680</v>
        <stp/>
        <stp>Market</stp>
        <stp>FOP</stp>
        <stp>131351018</stp>
        <stp>前日終値</stp>
        <tr r="BZ62" s="1"/>
      </tp>
      <tp>
        <v>3010</v>
        <stp/>
        <stp>Market</stp>
        <stp>FOP</stp>
        <stp>131350018</stp>
        <stp>前日終値</stp>
        <tr r="BZ60" s="1"/>
      </tp>
      <tp>
        <v>3330</v>
        <stp/>
        <stp>Market</stp>
        <stp>FOP</stp>
        <stp>141357018</stp>
        <stp>前日終値</stp>
        <tr r="BF54" s="1"/>
      </tp>
      <tp>
        <v>1</v>
        <stp/>
        <stp>Market</stp>
        <stp>FOP</stp>
        <stp>141357518</stp>
        <stp>前日終値</stp>
        <tr r="BF95" s="1"/>
      </tp>
      <tp>
        <v>223</v>
        <stp/>
        <stp>Market</stp>
        <stp>FOP</stp>
        <stp>141354018</stp>
        <stp>前日終値</stp>
        <tr r="BF68" s="1"/>
      </tp>
      <tp>
        <v>24</v>
        <stp/>
        <stp>Market</stp>
        <stp>FOP</stp>
        <stp>191359018</stp>
        <stp>前日終値</stp>
        <tr r="BF78" s="1"/>
      </tp>
      <tp>
        <v>37</v>
        <stp/>
        <stp>Market</stp>
        <stp>FOP</stp>
        <stp>191358018</stp>
        <stp>前日終値</stp>
        <tr r="BF76" s="1"/>
      </tp>
      <tp>
        <v>67</v>
        <stp/>
        <stp>Market</stp>
        <stp>FOP</stp>
        <stp>181246018</stp>
        <stp>前日終値</stp>
        <tr r="BZ102" s="1"/>
      </tp>
      <tp>
        <v>71</v>
        <stp/>
        <stp>Market</stp>
        <stp>FOP</stp>
        <stp>181246518</stp>
        <stp>前日終値</stp>
        <tr r="BZ103" s="1"/>
      </tp>
      <tp>
        <v>100</v>
        <stp/>
        <stp>Market</stp>
        <stp>FOP</stp>
        <stp>181247018</stp>
        <stp>前日終値</stp>
        <tr r="BZ104" s="1"/>
      </tp>
      <tp>
        <v>100</v>
        <stp/>
        <stp>Market</stp>
        <stp>FOP</stp>
        <stp>181247518</stp>
        <stp>前日終値</stp>
        <tr r="BZ105" s="1"/>
      </tp>
      <tp>
        <v>168</v>
        <stp/>
        <stp>Market</stp>
        <stp>FOP</stp>
        <stp>181242018</stp>
        <stp>前日終値</stp>
        <tr r="BZ114" s="1"/>
      </tp>
      <tp>
        <v>900</v>
        <stp/>
        <stp>Market</stp>
        <stp>FOP</stp>
        <stp>181242518</stp>
        <stp>前日終値</stp>
        <tr r="BZ135" s="1"/>
      </tp>
      <tp>
        <v>130</v>
        <stp/>
        <stp>Market</stp>
        <stp>FOP</stp>
        <stp>181240018</stp>
        <stp>前日終値</stp>
        <tr r="BZ110" s="1"/>
      </tp>
      <tp>
        <v>131</v>
        <stp/>
        <stp>Market</stp>
        <stp>FOP</stp>
        <stp>181240518</stp>
        <stp>前日終値</stp>
        <tr r="BZ111" s="1"/>
      </tp>
      <tp>
        <v>161</v>
        <stp/>
        <stp>Market</stp>
        <stp>FOP</stp>
        <stp>181241018</stp>
        <stp>前日終値</stp>
        <tr r="BZ112" s="1"/>
      </tp>
      <tp>
        <v>151</v>
        <stp/>
        <stp>Market</stp>
        <stp>FOP</stp>
        <stp>181241518</stp>
        <stp>前日終値</stp>
        <tr r="BZ113" s="1"/>
      </tp>
      <tp>
        <v>104</v>
        <stp/>
        <stp>Market</stp>
        <stp>FOP</stp>
        <stp>181248018</stp>
        <stp>前日終値</stp>
        <tr r="BZ106" s="1"/>
      </tp>
      <tp>
        <v>110</v>
        <stp/>
        <stp>Market</stp>
        <stp>FOP</stp>
        <stp>181248518</stp>
        <stp>前日終値</stp>
        <tr r="BZ107" s="1"/>
      </tp>
      <tp>
        <v>100</v>
        <stp/>
        <stp>Market</stp>
        <stp>FOP</stp>
        <stp>181249018</stp>
        <stp>前日終値</stp>
        <tr r="BZ108" s="1"/>
      </tp>
      <tp>
        <v>103</v>
        <stp/>
        <stp>Market</stp>
        <stp>FOP</stp>
        <stp>181249518</stp>
        <stp>前日終値</stp>
        <tr r="BZ109" s="1"/>
      </tp>
      <tp>
        <v>1170</v>
        <stp/>
        <stp>Market</stp>
        <stp>FOP</stp>
        <stp>181236018</stp>
        <stp>前日終値</stp>
        <tr r="BZ52" s="1"/>
      </tp>
      <tp>
        <v>2350</v>
        <stp/>
        <stp>Market</stp>
        <stp>FOP</stp>
        <stp>191237518</stp>
        <stp>前日終値</stp>
        <tr r="BF55" s="1"/>
      </tp>
      <tp>
        <v>3100</v>
        <stp/>
        <stp>Market</stp>
        <stp>FOP</stp>
        <stp>191236018</stp>
        <stp>前日終値</stp>
        <tr r="BF52" s="1"/>
      </tp>
      <tp>
        <v>1630</v>
        <stp/>
        <stp>Market</stp>
        <stp>FOP</stp>
        <stp>181237518</stp>
        <stp>前日終値</stp>
        <tr r="BZ55" s="1"/>
      </tp>
      <tp>
        <v>73</v>
        <stp/>
        <stp>Market</stp>
        <stp>FOP</stp>
        <stp>191236518</stp>
        <stp>前日終値</stp>
        <tr r="BF73" s="1"/>
      </tp>
      <tp>
        <v>1565</v>
        <stp/>
        <stp>Market</stp>
        <stp>FOP</stp>
        <stp>141238518</stp>
        <stp>前日終値</stp>
        <tr r="BF57" s="1"/>
      </tp>
      <tp>
        <v>120</v>
        <stp/>
        <stp>Market</stp>
        <stp>FOP</stp>
        <stp>191235518</stp>
        <stp>前日終値</stp>
        <tr r="BF71" s="1"/>
      </tp>
      <tp>
        <v>1185</v>
        <stp/>
        <stp>Market</stp>
        <stp>FOP</stp>
        <stp>141239518</stp>
        <stp>前日終値</stp>
        <tr r="BF59" s="1"/>
      </tp>
      <tp>
        <v>183</v>
        <stp/>
        <stp>Market</stp>
        <stp>FOP</stp>
        <stp>191234518</stp>
        <stp>前日終値</stp>
        <tr r="BF69" s="1"/>
      </tp>
      <tp>
        <v>203</v>
        <stp/>
        <stp>Market</stp>
        <stp>FOP</stp>
        <stp>131239018</stp>
        <stp>前日終値</stp>
        <tr r="BZ38" s="1"/>
      </tp>
      <tp>
        <v>2100</v>
        <stp/>
        <stp>Market</stp>
        <stp>FOP</stp>
        <stp>131239518</stp>
        <stp>前日終値</stp>
        <tr r="BZ59" s="1"/>
      </tp>
      <tp>
        <v>166</v>
        <stp/>
        <stp>Market</stp>
        <stp>FOP</stp>
        <stp>131238018</stp>
        <stp>前日終値</stp>
        <tr r="BZ36" s="1"/>
      </tp>
      <tp>
        <v>2000</v>
        <stp/>
        <stp>Market</stp>
        <stp>FOP</stp>
        <stp>131238518</stp>
        <stp>前日終値</stp>
        <tr r="BZ57" s="1"/>
      </tp>
      <tp>
        <v>5</v>
        <stp/>
        <stp>Market</stp>
        <stp>FOP</stp>
        <stp>191232518</stp>
        <stp>前日終値</stp>
        <tr r="BF85" s="1"/>
      </tp>
      <tp>
        <v>900</v>
        <stp/>
        <stp>Market</stp>
        <stp>FOP</stp>
        <stp>131235018</stp>
        <stp>前日終値</stp>
        <tr r="BZ50" s="1"/>
      </tp>
      <tp>
        <v>965</v>
        <stp/>
        <stp>Market</stp>
        <stp>FOP</stp>
        <stp>131235518</stp>
        <stp>前日終値</stp>
        <tr r="BZ51" s="1"/>
      </tp>
      <tp>
        <v>675</v>
        <stp/>
        <stp>Market</stp>
        <stp>FOP</stp>
        <stp>131234018</stp>
        <stp>前日終値</stp>
        <tr r="BZ48" s="1"/>
      </tp>
      <tp>
        <v>840</v>
        <stp/>
        <stp>Market</stp>
        <stp>FOP</stp>
        <stp>131234518</stp>
        <stp>前日終値</stp>
        <tr r="BZ49" s="1"/>
      </tp>
      <tp>
        <v>266</v>
        <stp/>
        <stp>Market</stp>
        <stp>FOP</stp>
        <stp>141233518</stp>
        <stp>前日終値</stp>
        <tr r="BF67" s="1"/>
      </tp>
      <tp>
        <v>142</v>
        <stp/>
        <stp>Market</stp>
        <stp>FOP</stp>
        <stp>131237018</stp>
        <stp>前日終値</stp>
        <tr r="BZ34" s="1"/>
      </tp>
      <tp>
        <v>865</v>
        <stp/>
        <stp>Market</stp>
        <stp>FOP</stp>
        <stp>141230518</stp>
        <stp>前日終値</stp>
        <tr r="BF61" s="1"/>
      </tp>
      <tp>
        <v>117</v>
        <stp/>
        <stp>Market</stp>
        <stp>FOP</stp>
        <stp>131236018</stp>
        <stp>前日終値</stp>
        <tr r="BZ32" s="1"/>
      </tp>
      <tp>
        <v>1330</v>
        <stp/>
        <stp>Market</stp>
        <stp>FOP</stp>
        <stp>131236518</stp>
        <stp>前日終値</stp>
        <tr r="BZ53" s="1"/>
      </tp>
      <tp>
        <v>590</v>
        <stp/>
        <stp>Market</stp>
        <stp>FOP</stp>
        <stp>141231518</stp>
        <stp>前日終値</stp>
        <tr r="BF63" s="1"/>
      </tp>
      <tp>
        <v>315</v>
        <stp/>
        <stp>Market</stp>
        <stp>FOP</stp>
        <stp>131231018</stp>
        <stp>前日終値</stp>
        <tr r="BZ42" s="1"/>
      </tp>
      <tp>
        <v>1850</v>
        <stp/>
        <stp>Market</stp>
        <stp>FOP</stp>
        <stp>141236518</stp>
        <stp>前日終値</stp>
        <tr r="BF53" s="1"/>
      </tp>
      <tp>
        <v>251</v>
        <stp/>
        <stp>Market</stp>
        <stp>FOP</stp>
        <stp>131230018</stp>
        <stp>前日終値</stp>
        <tr r="BZ40" s="1"/>
      </tp>
      <tp>
        <v>2185</v>
        <stp/>
        <stp>Market</stp>
        <stp>FOP</stp>
        <stp>131230518</stp>
        <stp>前日終値</stp>
        <tr r="BZ61" s="1"/>
      </tp>
      <tp>
        <v>44</v>
        <stp/>
        <stp>Market</stp>
        <stp>FOP</stp>
        <stp>141237518</stp>
        <stp>前日終値</stp>
        <tr r="BF75" s="1"/>
      </tp>
      <tp>
        <v>505</v>
        <stp/>
        <stp>Market</stp>
        <stp>FOP</stp>
        <stp>131233018</stp>
        <stp>前日終値</stp>
        <tr r="BZ46" s="1"/>
      </tp>
      <tp>
        <v>19</v>
        <stp/>
        <stp>Market</stp>
        <stp>FOP</stp>
        <stp>191239518</stp>
        <stp>前日終値</stp>
        <tr r="BF79" s="1"/>
      </tp>
      <tp>
        <v>395</v>
        <stp/>
        <stp>Market</stp>
        <stp>FOP</stp>
        <stp>131232018</stp>
        <stp>前日終値</stp>
        <tr r="BZ44" s="1"/>
      </tp>
      <tp>
        <v>4425</v>
        <stp/>
        <stp>Market</stp>
        <stp>FOP</stp>
        <stp>141235018</stp>
        <stp>前日終値</stp>
        <tr r="BF50" s="1"/>
      </tp>
      <tp>
        <v>405</v>
        <stp/>
        <stp>Market</stp>
        <stp>FOP</stp>
        <stp>131232518</stp>
        <stp>前日終値</stp>
        <tr r="BZ45" s="1"/>
      </tp>
      <tp>
        <v>2345</v>
        <stp/>
        <stp>Market</stp>
        <stp>FOP</stp>
        <stp>141235518</stp>
        <stp>前日終値</stp>
        <tr r="BF51" s="1"/>
      </tp>
      <tp>
        <v>29</v>
        <stp/>
        <stp>Market</stp>
        <stp>FOP</stp>
        <stp>191238518</stp>
        <stp>前日終値</stp>
        <tr r="BF77" s="1"/>
      </tp>
    </main>
    <main first="rtdsrv.48cf1ad348244608b72d359ebfbe4e5c">
      <tp>
        <v>15.27</v>
        <stp/>
        <stp>Market</stp>
        <stp>INDEX</stp>
        <stp>VIX</stp>
        <stp>前日終値</stp>
        <tr r="BF9" s="1"/>
      </tp>
      <tp>
        <v>68160</v>
        <stp/>
        <stp>Market</stp>
        <stp>FOP</stp>
        <stp>161120019</stp>
        <stp>前日終値</stp>
        <tr r="BF11" s="1"/>
      </tp>
      <tp>
        <v>68040</v>
        <stp/>
        <stp>Market</stp>
        <stp>FOP</stp>
        <stp>161110019</stp>
        <stp>前日終値</stp>
        <tr r="BF10" s="1"/>
      </tp>
      <tp>
        <v>24</v>
        <stp/>
        <stp>Market</stp>
        <stp>FOP</stp>
        <stp>181116018</stp>
        <stp>前日終値</stp>
        <tr r="BZ12" s="1"/>
      </tp>
      <tp>
        <v>140</v>
        <stp/>
        <stp>Market</stp>
        <stp>FOP</stp>
        <stp>181116518</stp>
        <stp>前日終値</stp>
        <tr r="BZ33" s="1"/>
      </tp>
      <tp>
        <v>27</v>
        <stp/>
        <stp>Market</stp>
        <stp>FOP</stp>
        <stp>181117018</stp>
        <stp>前日終値</stp>
        <tr r="BZ14" s="1"/>
      </tp>
      <tp>
        <v>138</v>
        <stp/>
        <stp>Market</stp>
        <stp>FOP</stp>
        <stp>181117518</stp>
        <stp>前日終値</stp>
        <tr r="BZ35" s="1"/>
      </tp>
      <tp>
        <v>85</v>
        <stp/>
        <stp>Market</stp>
        <stp>FOP</stp>
        <stp>181114018</stp>
        <stp>前日終値</stp>
        <tr r="BZ28" s="1"/>
      </tp>
      <tp>
        <v>101</v>
        <stp/>
        <stp>Market</stp>
        <stp>FOP</stp>
        <stp>181115018</stp>
        <stp>前日終値</stp>
        <tr r="BZ30" s="1"/>
      </tp>
      <tp>
        <v>105</v>
        <stp/>
        <stp>Market</stp>
        <stp>FOP</stp>
        <stp>181115518</stp>
        <stp>前日終値</stp>
        <tr r="BZ31" s="1"/>
      </tp>
      <tp>
        <v>64</v>
        <stp/>
        <stp>Market</stp>
        <stp>FOP</stp>
        <stp>181112018</stp>
        <stp>前日終値</stp>
        <tr r="BZ24" s="1"/>
      </tp>
      <tp>
        <v>57</v>
        <stp/>
        <stp>Market</stp>
        <stp>FOP</stp>
        <stp>131119518</stp>
        <stp>前日終値</stp>
        <tr r="BZ19" s="1"/>
      </tp>
      <tp>
        <v>74</v>
        <stp/>
        <stp>Market</stp>
        <stp>FOP</stp>
        <stp>181113018</stp>
        <stp>前日終値</stp>
        <tr r="BZ26" s="1"/>
      </tp>
      <tp>
        <v>40</v>
        <stp/>
        <stp>Market</stp>
        <stp>FOP</stp>
        <stp>131118518</stp>
        <stp>前日終値</stp>
        <tr r="BZ17" s="1"/>
      </tp>
      <tp>
        <v>600</v>
        <stp/>
        <stp>Market</stp>
        <stp>FOP</stp>
        <stp>181113518</stp>
        <stp>前日終値</stp>
        <tr r="BZ47" s="1"/>
      </tp>
      <tp>
        <v>400</v>
        <stp/>
        <stp>Market</stp>
        <stp>FOP</stp>
        <stp>191112518</stp>
        <stp>前日終値</stp>
        <tr r="BF65" s="1"/>
      </tp>
      <tp>
        <v>47</v>
        <stp/>
        <stp>Market</stp>
        <stp>FOP</stp>
        <stp>181110018</stp>
        <stp>前日終値</stp>
        <tr r="BZ20" s="1"/>
      </tp>
      <tp>
        <v>280</v>
        <stp/>
        <stp>Market</stp>
        <stp>FOP</stp>
        <stp>181110518</stp>
        <stp>前日終値</stp>
        <tr r="BZ41" s="1"/>
      </tp>
      <tp>
        <v>56</v>
        <stp/>
        <stp>Market</stp>
        <stp>FOP</stp>
        <stp>181111018</stp>
        <stp>前日終値</stp>
        <tr r="BZ22" s="1"/>
      </tp>
      <tp>
        <v>305</v>
        <stp/>
        <stp>Market</stp>
        <stp>FOP</stp>
        <stp>181111518</stp>
        <stp>前日終値</stp>
        <tr r="BZ43" s="1"/>
      </tp>
      <tp>
        <v>94</v>
        <stp/>
        <stp>Market</stp>
        <stp>FOP</stp>
        <stp>131114518</stp>
        <stp>前日終値</stp>
        <tr r="BZ29" s="1"/>
      </tp>
      <tp>
        <v>30</v>
        <stp/>
        <stp>Market</stp>
        <stp>FOP</stp>
        <stp>131117518</stp>
        <stp>前日終値</stp>
        <tr r="BZ15" s="1"/>
      </tp>
      <tp>
        <v>27</v>
        <stp/>
        <stp>Market</stp>
        <stp>FOP</stp>
        <stp>131116518</stp>
        <stp>前日終値</stp>
        <tr r="BZ13" s="1"/>
      </tp>
      <tp>
        <v>53</v>
        <stp/>
        <stp>Market</stp>
        <stp>FOP</stp>
        <stp>131111518</stp>
        <stp>前日終値</stp>
        <tr r="BZ23" s="1"/>
      </tp>
      <tp>
        <v>50</v>
        <stp/>
        <stp>Market</stp>
        <stp>FOP</stp>
        <stp>131110518</stp>
        <stp>前日終値</stp>
        <tr r="BZ21" s="1"/>
      </tp>
      <tp>
        <v>37</v>
        <stp/>
        <stp>Market</stp>
        <stp>FOP</stp>
        <stp>181118018</stp>
        <stp>前日終値</stp>
        <tr r="BZ16" s="1"/>
      </tp>
      <tp>
        <v>70</v>
        <stp/>
        <stp>Market</stp>
        <stp>FOP</stp>
        <stp>131113518</stp>
        <stp>前日終値</stp>
        <tr r="BZ27" s="1"/>
      </tp>
      <tp>
        <v>155</v>
        <stp/>
        <stp>Market</stp>
        <stp>FOP</stp>
        <stp>181118518</stp>
        <stp>前日終値</stp>
        <tr r="BZ37" s="1"/>
      </tp>
      <tp>
        <v>40</v>
        <stp/>
        <stp>Market</stp>
        <stp>FOP</stp>
        <stp>181119018</stp>
        <stp>前日終値</stp>
        <tr r="BZ18" s="1"/>
      </tp>
      <tp>
        <v>60</v>
        <stp/>
        <stp>Market</stp>
        <stp>FOP</stp>
        <stp>131112518</stp>
        <stp>前日終値</stp>
        <tr r="BZ25" s="1"/>
      </tp>
      <tp>
        <v>185</v>
        <stp/>
        <stp>Market</stp>
        <stp>FOP</stp>
        <stp>181119518</stp>
        <stp>前日終値</stp>
        <tr r="BZ39" s="1"/>
      </tp>
    </main>
    <main first="rtdsrv.48cf1ad348244608b72d359ebfbe4e5c">
      <tp>
        <v>15.34</v>
        <stp/>
        <stp>Market</stp>
        <stp>INDEX</stp>
        <stp>VIX</stp>
        <stp>現在値</stp>
        <tr r="AZ9" s="1"/>
      </tp>
    </main>
    <main first="rtdsrv.48cf1ad348244608b72d359ebfbe4e5c">
      <tp t="s">
        <v>日経225オプション 26-11 C 85000</v>
        <stp/>
        <stp>Market</stp>
        <stp>FOP</stp>
        <stp>141475018</stp>
        <stp>銘柄名称</stp>
        <tr r="AO90" s="1"/>
      </tp>
      <tp t="s">
        <v>日経225オプション 26-11 C 90000</v>
        <stp/>
        <stp>Market</stp>
        <stp>FOP</stp>
        <stp>141470018</stp>
        <stp>銘柄名称</stp>
        <tr r="AO100" s="1"/>
      </tp>
      <tp t="s">
        <v>日経225オプション 26-12 C 83000</v>
        <stp/>
        <stp>Market</stp>
        <stp>FOP</stp>
        <stp>191483018</stp>
        <stp>銘柄名称</stp>
        <tr r="AO176" s="1"/>
      </tp>
      <tp t="s">
        <v>日経225オプション 26-12 C 82500</v>
        <stp/>
        <stp>Market</stp>
        <stp>FOP</stp>
        <stp>191482518</stp>
        <stp>銘柄名称</stp>
        <tr r="AO175" s="1"/>
      </tp>
      <tp t="s">
        <v>日経225オプション 26-12 C 90000</v>
        <stp/>
        <stp>Market</stp>
        <stp>FOP</stp>
        <stp>191480018</stp>
        <stp>銘柄名称</stp>
        <tr r="AO190" s="1"/>
      </tp>
      <tp t="s">
        <v>日経225オプション 26-12 C 87500</v>
        <stp/>
        <stp>Market</stp>
        <stp>FOP</stp>
        <stp>191487518</stp>
        <stp>銘柄名称</stp>
        <tr r="AO185" s="1"/>
      </tp>
      <tp t="s">
        <v>日経225オプション 26-12 C 78000</v>
        <stp/>
        <stp>Market</stp>
        <stp>FOP</stp>
        <stp>141488018</stp>
        <stp>銘柄名称</stp>
        <tr r="AO166" s="1"/>
      </tp>
      <tp t="s">
        <v>日経225オプション 26-12 C 85000</v>
        <stp/>
        <stp>Market</stp>
        <stp>FOP</stp>
        <stp>191485018</stp>
        <stp>銘柄名称</stp>
        <tr r="AO180" s="1"/>
      </tp>
      <tp t="s">
        <v>日経225オプション 26-12 C 79000</v>
        <stp/>
        <stp>Market</stp>
        <stp>FOP</stp>
        <stp>141489018</stp>
        <stp>銘柄名称</stp>
        <tr r="AO168" s="1"/>
      </tp>
      <tp t="s">
        <v>日経225オプション 26-12 C 84000</v>
        <stp/>
        <stp>Market</stp>
        <stp>FOP</stp>
        <stp>191484018</stp>
        <stp>銘柄名称</stp>
        <tr r="AO178" s="1"/>
      </tp>
      <tp t="s">
        <v>日経225オプション 26-12 C 76000</v>
        <stp/>
        <stp>Market</stp>
        <stp>FOP</stp>
        <stp>141486018</stp>
        <stp>銘柄名称</stp>
        <tr r="AO162" s="1"/>
      </tp>
      <tp t="s">
        <v>日経225オプション 26-12 C 67500</v>
        <stp/>
        <stp>Market</stp>
        <stp>FOP</stp>
        <stp>141487518</stp>
        <stp>銘柄名称</stp>
        <tr r="AO145" s="1"/>
      </tp>
      <tp t="s">
        <v>日経225オプション 26-12 C 77000</v>
        <stp/>
        <stp>Market</stp>
        <stp>FOP</stp>
        <stp>141487018</stp>
        <stp>銘柄名称</stp>
        <tr r="AO164" s="1"/>
      </tp>
      <tp t="s">
        <v>日経225オプション 26-12 C 74500</v>
        <stp/>
        <stp>Market</stp>
        <stp>FOP</stp>
        <stp>141484518</stp>
        <stp>銘柄名称</stp>
        <tr r="AO159" s="1"/>
      </tp>
      <tp t="s">
        <v>日経225オプション 26-12 C 74000</v>
        <stp/>
        <stp>Market</stp>
        <stp>FOP</stp>
        <stp>141484018</stp>
        <stp>銘柄名称</stp>
        <tr r="AO158" s="1"/>
      </tp>
      <tp t="s">
        <v>日経225オプション 26-12 C 75500</v>
        <stp/>
        <stp>Market</stp>
        <stp>FOP</stp>
        <stp>141485518</stp>
        <stp>銘柄名称</stp>
        <tr r="AO161" s="1"/>
      </tp>
      <tp t="s">
        <v>日経225オプション 26-12 C 75000</v>
        <stp/>
        <stp>Market</stp>
        <stp>FOP</stp>
        <stp>141485018</stp>
        <stp>銘柄名称</stp>
        <tr r="AO160" s="1"/>
      </tp>
      <tp t="s">
        <v>日経225オプション 26-12 C 72500</v>
        <stp/>
        <stp>Market</stp>
        <stp>FOP</stp>
        <stp>141482518</stp>
        <stp>銘柄名称</stp>
        <tr r="AO155" s="1"/>
      </tp>
      <tp t="s">
        <v>日経225オプション 26-12 C 82000</v>
        <stp/>
        <stp>Market</stp>
        <stp>FOP</stp>
        <stp>141482018</stp>
        <stp>銘柄名称</stp>
        <tr r="AO174" s="1"/>
      </tp>
      <tp t="s">
        <v>日経225オプション 26-12 C 73500</v>
        <stp/>
        <stp>Market</stp>
        <stp>FOP</stp>
        <stp>141483518</stp>
        <stp>銘柄名称</stp>
        <tr r="AO157" s="1"/>
      </tp>
      <tp t="s">
        <v>日経225オプション 26-12 C 73000</v>
        <stp/>
        <stp>Market</stp>
        <stp>FOP</stp>
        <stp>141483018</stp>
        <stp>銘柄名称</stp>
        <tr r="AO156" s="1"/>
      </tp>
      <tp t="s">
        <v>日経225オプション 26-12 P 67500</v>
        <stp/>
        <stp>Market</stp>
        <stp>FOP</stp>
        <stp>131487518</stp>
        <stp>銘柄名称</stp>
        <tr r="BI145" s="1"/>
      </tp>
      <tp t="s">
        <v>日経225オプション 26-12 C 80000</v>
        <stp/>
        <stp>Market</stp>
        <stp>FOP</stp>
        <stp>141480018</stp>
        <stp>銘柄名称</stp>
        <tr r="AO170" s="1"/>
      </tp>
      <tp t="s">
        <v>日経225オプション 26-12 C 81000</v>
        <stp/>
        <stp>Market</stp>
        <stp>FOP</stp>
        <stp>141481018</stp>
        <stp>銘柄名称</stp>
        <tr r="AO172" s="1"/>
      </tp>
      <tp t="s">
        <v>日経225オプション 26-11 P 69000</v>
        <stp/>
        <stp>Market</stp>
        <stp>FOP</stp>
        <stp>131359018</stp>
        <stp>銘柄名称</stp>
        <tr r="BI58" s="1"/>
      </tp>
      <tp t="s">
        <v>日経225オプション 26-11 P 68000</v>
        <stp/>
        <stp>Market</stp>
        <stp>FOP</stp>
        <stp>131358018</stp>
        <stp>銘柄名称</stp>
        <tr r="BI56" s="1"/>
      </tp>
      <tp t="s">
        <v>日経225オプション 26-11 C 80000</v>
        <stp/>
        <stp>Market</stp>
        <stp>FOP</stp>
        <stp>191350018</stp>
        <stp>銘柄名称</stp>
        <tr r="AO80" s="1"/>
      </tp>
      <tp t="s">
        <v>日経225オプション 26-11 C 77000</v>
        <stp/>
        <stp>Market</stp>
        <stp>FOP</stp>
        <stp>191357018</stp>
        <stp>銘柄名称</stp>
        <tr r="AO74" s="1"/>
      </tp>
      <tp t="s">
        <v>日経225オプション 26-11 C 76000</v>
        <stp/>
        <stp>Market</stp>
        <stp>FOP</stp>
        <stp>191356018</stp>
        <stp>銘柄名称</stp>
        <tr r="AO72" s="1"/>
      </tp>
      <tp t="s">
        <v>日経225オプション 26-11 C 68000</v>
        <stp/>
        <stp>Market</stp>
        <stp>FOP</stp>
        <stp>141358018</stp>
        <stp>銘柄名称</stp>
        <tr r="AO56" s="1"/>
      </tp>
      <tp t="s">
        <v>日経225オプション 26-11 C 75000</v>
        <stp/>
        <stp>Market</stp>
        <stp>FOP</stp>
        <stp>191355018</stp>
        <stp>銘柄名称</stp>
        <tr r="AO70" s="1"/>
      </tp>
      <tp t="s">
        <v>日経225オプション 26-11 C 69000</v>
        <stp/>
        <stp>Market</stp>
        <stp>FOP</stp>
        <stp>141359018</stp>
        <stp>銘柄名称</stp>
        <tr r="AO58" s="1"/>
      </tp>
      <tp t="s">
        <v>日経225オプション 26-11 P 71000</v>
        <stp/>
        <stp>Market</stp>
        <stp>FOP</stp>
        <stp>131351018</stp>
        <stp>銘柄名称</stp>
        <tr r="BI62" s="1"/>
      </tp>
      <tp t="s">
        <v>日経225オプション 26-11 C 87500</v>
        <stp/>
        <stp>Market</stp>
        <stp>FOP</stp>
        <stp>141357518</stp>
        <stp>銘柄名称</stp>
        <tr r="AO95" s="1"/>
      </tp>
      <tp t="s">
        <v>日経225オプション 26-11 P 70000</v>
        <stp/>
        <stp>Market</stp>
        <stp>FOP</stp>
        <stp>131350018</stp>
        <stp>銘柄名称</stp>
        <tr r="BI60" s="1"/>
      </tp>
      <tp t="s">
        <v>日経225オプション 26-11 C 67000</v>
        <stp/>
        <stp>Market</stp>
        <stp>FOP</stp>
        <stp>141357018</stp>
        <stp>銘柄名称</stp>
        <tr r="AO54" s="1"/>
      </tp>
      <tp t="s">
        <v>日経225オプション 26-11 C 74000</v>
        <stp/>
        <stp>Market</stp>
        <stp>FOP</stp>
        <stp>141354018</stp>
        <stp>銘柄名称</stp>
        <tr r="AO68" s="1"/>
      </tp>
      <tp t="s">
        <v>日経225オプション 26-11 C 79000</v>
        <stp/>
        <stp>Market</stp>
        <stp>FOP</stp>
        <stp>191359018</stp>
        <stp>銘柄名称</stp>
        <tr r="AO78" s="1"/>
      </tp>
      <tp t="s">
        <v>日経225オプション 26-11 C 78000</v>
        <stp/>
        <stp>Market</stp>
        <stp>FOP</stp>
        <stp>191358018</stp>
        <stp>銘柄名称</stp>
        <tr r="AO76" s="1"/>
      </tp>
      <tp t="s">
        <v>日経225オプション 26-11 C 72000</v>
        <stp/>
        <stp>Market</stp>
        <stp>FOP</stp>
        <stp>141352018</stp>
        <stp>銘柄名称</stp>
        <tr r="AO64" s="1"/>
      </tp>
      <tp t="s">
        <v>日経225オプション 26-11 C 73000</v>
        <stp/>
        <stp>Market</stp>
        <stp>FOP</stp>
        <stp>141353018</stp>
        <stp>銘柄名称</stp>
        <tr r="AO66" s="1"/>
      </tp>
      <tp t="s">
        <v>日経225オプション 26-11 P 67000</v>
        <stp/>
        <stp>Market</stp>
        <stp>FOP</stp>
        <stp>131357018</stp>
        <stp>銘柄名称</stp>
        <tr r="BI54" s="1"/>
      </tp>
      <tp t="s">
        <v>日経225オプション 26-11 C 70000</v>
        <stp/>
        <stp>Market</stp>
        <stp>FOP</stp>
        <stp>141350018</stp>
        <stp>銘柄名称</stp>
        <tr r="AO60" s="1"/>
      </tp>
      <tp t="s">
        <v>日経225オプション 26-11 C 71000</v>
        <stp/>
        <stp>Market</stp>
        <stp>FOP</stp>
        <stp>141351018</stp>
        <stp>銘柄名称</stp>
        <tr r="AO62" s="1"/>
      </tp>
      <tp t="s">
        <v>日経225オプション 26-12 P 59500</v>
        <stp/>
        <stp>Market</stp>
        <stp>FOP</stp>
        <stp>131369518</stp>
        <stp>銘柄名称</stp>
        <tr r="BI129" s="1"/>
      </tp>
      <tp t="s">
        <v>日経225オプション 26-12 P 52500</v>
        <stp/>
        <stp>Market</stp>
        <stp>FOP</stp>
        <stp>181362518</stp>
        <stp>銘柄名称</stp>
        <tr r="BI115" s="1"/>
      </tp>
      <tp t="s">
        <v>日経225オプション 26-12 P 59000</v>
        <stp/>
        <stp>Market</stp>
        <stp>FOP</stp>
        <stp>131369018</stp>
        <stp>銘柄名称</stp>
        <tr r="BI128" s="1"/>
      </tp>
      <tp t="s">
        <v>日経225オプション 26-12 P 58500</v>
        <stp/>
        <stp>Market</stp>
        <stp>FOP</stp>
        <stp>131368518</stp>
        <stp>銘柄名称</stp>
        <tr r="BI127" s="1"/>
      </tp>
      <tp t="s">
        <v>日経225オプション 26-12 P 63500</v>
        <stp/>
        <stp>Market</stp>
        <stp>FOP</stp>
        <stp>181363518</stp>
        <stp>銘柄名称</stp>
        <tr r="BI137" s="1"/>
      </tp>
      <tp t="s">
        <v>日経225オプション 26-12 P 58000</v>
        <stp/>
        <stp>Market</stp>
        <stp>FOP</stp>
        <stp>131368018</stp>
        <stp>銘柄名称</stp>
        <tr r="BI126" s="1"/>
      </tp>
      <tp t="s">
        <v>日経225オプション 26-12 P 63000</v>
        <stp/>
        <stp>Market</stp>
        <stp>FOP</stp>
        <stp>181363018</stp>
        <stp>銘柄名称</stp>
        <tr r="BI136" s="1"/>
      </tp>
      <tp t="s">
        <v>日経225オプション 26-12 C 72000</v>
        <stp/>
        <stp>Market</stp>
        <stp>FOP</stp>
        <stp>191362018</stp>
        <stp>銘柄名称</stp>
        <tr r="AO154" s="1"/>
      </tp>
      <tp t="s">
        <v>日経225オプション 26-12 P 70500</v>
        <stp/>
        <stp>Market</stp>
        <stp>FOP</stp>
        <stp>181360518</stp>
        <stp>銘柄名称</stp>
        <tr r="BI151" s="1"/>
      </tp>
      <tp t="s">
        <v>日経225オプション 26-12 C 71500</v>
        <stp/>
        <stp>Market</stp>
        <stp>FOP</stp>
        <stp>191361518</stp>
        <stp>銘柄名称</stp>
        <tr r="AO153" s="1"/>
      </tp>
      <tp t="s">
        <v>日経225オプション 26-12 P 70000</v>
        <stp/>
        <stp>Market</stp>
        <stp>FOP</stp>
        <stp>181360018</stp>
        <stp>銘柄名称</stp>
        <tr r="BI150" s="1"/>
      </tp>
      <tp t="s">
        <v>日経225オプション 26-12 C 71000</v>
        <stp/>
        <stp>Market</stp>
        <stp>FOP</stp>
        <stp>191361018</stp>
        <stp>銘柄名称</stp>
        <tr r="AO152" s="1"/>
      </tp>
      <tp t="s">
        <v>日経225オプション 26-12 C 70500</v>
        <stp/>
        <stp>Market</stp>
        <stp>FOP</stp>
        <stp>191360518</stp>
        <stp>銘柄名称</stp>
        <tr r="AO151" s="1"/>
      </tp>
      <tp t="s">
        <v>日経225オプション 26-12 P 71000</v>
        <stp/>
        <stp>Market</stp>
        <stp>FOP</stp>
        <stp>181361018</stp>
        <stp>銘柄名称</stp>
        <tr r="BI152" s="1"/>
      </tp>
      <tp t="s">
        <v>日経225オプション 26-12 C 70000</v>
        <stp/>
        <stp>Market</stp>
        <stp>FOP</stp>
        <stp>191360018</stp>
        <stp>銘柄名称</stp>
        <tr r="AO150" s="1"/>
      </tp>
      <tp t="s">
        <v>日経225オプション 26-12 P 66500</v>
        <stp/>
        <stp>Market</stp>
        <stp>FOP</stp>
        <stp>181366518</stp>
        <stp>銘柄名称</stp>
        <tr r="BI143" s="1"/>
      </tp>
      <tp t="s">
        <v>日経225オプション 26-12 C 77500</v>
        <stp/>
        <stp>Market</stp>
        <stp>FOP</stp>
        <stp>191367518</stp>
        <stp>銘柄名称</stp>
        <tr r="AO165" s="1"/>
      </tp>
      <tp t="s">
        <v>日経225オプション 26-12 P 66000</v>
        <stp/>
        <stp>Market</stp>
        <stp>FOP</stp>
        <stp>181366018</stp>
        <stp>銘柄名称</stp>
        <tr r="BI142" s="1"/>
      </tp>
      <tp t="s">
        <v>日経225オプション 26-12 C 67000</v>
        <stp/>
        <stp>Market</stp>
        <stp>FOP</stp>
        <stp>191367018</stp>
        <stp>銘柄名称</stp>
        <tr r="AO144" s="1"/>
      </tp>
      <tp t="s">
        <v>日経225オプション 26-12 C 66500</v>
        <stp/>
        <stp>Market</stp>
        <stp>FOP</stp>
        <stp>191366518</stp>
        <stp>銘柄名称</stp>
        <tr r="AO143" s="1"/>
      </tp>
      <tp t="s">
        <v>日経225オプション 26-12 P 67000</v>
        <stp/>
        <stp>Market</stp>
        <stp>FOP</stp>
        <stp>181367018</stp>
        <stp>銘柄名称</stp>
        <tr r="BI144" s="1"/>
      </tp>
      <tp t="s">
        <v>日経225オプション 26-12 C 66000</v>
        <stp/>
        <stp>Market</stp>
        <stp>FOP</stp>
        <stp>191366018</stp>
        <stp>銘柄名称</stp>
        <tr r="AO142" s="1"/>
      </tp>
      <tp t="s">
        <v>日経225オプション 26-12 P 64500</v>
        <stp/>
        <stp>Market</stp>
        <stp>FOP</stp>
        <stp>181364518</stp>
        <stp>銘柄名称</stp>
        <tr r="BI139" s="1"/>
      </tp>
      <tp t="s">
        <v>日経225オプション 26-12 C 65500</v>
        <stp/>
        <stp>Market</stp>
        <stp>FOP</stp>
        <stp>191365518</stp>
        <stp>銘柄名称</stp>
        <tr r="AO141" s="1"/>
      </tp>
      <tp t="s">
        <v>日経225オプション 26-12 P 64000</v>
        <stp/>
        <stp>Market</stp>
        <stp>FOP</stp>
        <stp>181364018</stp>
        <stp>銘柄名称</stp>
        <tr r="BI138" s="1"/>
      </tp>
      <tp t="s">
        <v>日経225オプション 26-12 C 65000</v>
        <stp/>
        <stp>Market</stp>
        <stp>FOP</stp>
        <stp>191365018</stp>
        <stp>銘柄名称</stp>
        <tr r="AO140" s="1"/>
      </tp>
      <tp t="s">
        <v>日経225オプション 26-12 P 65500</v>
        <stp/>
        <stp>Market</stp>
        <stp>FOP</stp>
        <stp>181365518</stp>
        <stp>銘柄名称</stp>
        <tr r="BI141" s="1"/>
      </tp>
      <tp t="s">
        <v>日経225オプション 26-12 P 65000</v>
        <stp/>
        <stp>Market</stp>
        <stp>FOP</stp>
        <stp>181365018</stp>
        <stp>銘柄名称</stp>
        <tr r="BI140" s="1"/>
      </tp>
      <tp t="s">
        <v>日経225オプション 26-12 P 61500</v>
        <stp/>
        <stp>Market</stp>
        <stp>FOP</stp>
        <stp>131361518</stp>
        <stp>銘柄名称</stp>
        <tr r="BI133" s="1"/>
      </tp>
      <tp t="s">
        <v>日経225オプション 26-12 P 61000</v>
        <stp/>
        <stp>Market</stp>
        <stp>FOP</stp>
        <stp>131361018</stp>
        <stp>銘柄名称</stp>
        <tr r="BI132" s="1"/>
      </tp>
      <tp t="s">
        <v>日経225オプション 26-12 P 60500</v>
        <stp/>
        <stp>Market</stp>
        <stp>FOP</stp>
        <stp>131360518</stp>
        <stp>銘柄名称</stp>
        <tr r="BI131" s="1"/>
      </tp>
      <tp t="s">
        <v>日経225オプション 26-12 P 60000</v>
        <stp/>
        <stp>Market</stp>
        <stp>FOP</stp>
        <stp>131360018</stp>
        <stp>銘柄名称</stp>
        <tr r="BI130" s="1"/>
      </tp>
      <tp t="s">
        <v>日経225オプション 26-12 P 53500</v>
        <stp/>
        <stp>Market</stp>
        <stp>FOP</stp>
        <stp>131363518</stp>
        <stp>銘柄名称</stp>
        <tr r="BI117" s="1"/>
      </tp>
      <tp t="s">
        <v>日経225オプション 26-12 P 68500</v>
        <stp/>
        <stp>Market</stp>
        <stp>FOP</stp>
        <stp>181368518</stp>
        <stp>銘柄名称</stp>
        <tr r="BI147" s="1"/>
      </tp>
      <tp t="s">
        <v>日経225オプション 26-12 C 69500</v>
        <stp/>
        <stp>Market</stp>
        <stp>FOP</stp>
        <stp>191369518</stp>
        <stp>銘柄名称</stp>
        <tr r="AO149" s="1"/>
      </tp>
      <tp t="s">
        <v>日経225オプション 26-12 P 53000</v>
        <stp/>
        <stp>Market</stp>
        <stp>FOP</stp>
        <stp>131363018</stp>
        <stp>銘柄名称</stp>
        <tr r="BI116" s="1"/>
      </tp>
      <tp t="s">
        <v>日経225オプション 26-12 P 68000</v>
        <stp/>
        <stp>Market</stp>
        <stp>FOP</stp>
        <stp>181368018</stp>
        <stp>銘柄名称</stp>
        <tr r="BI146" s="1"/>
      </tp>
      <tp t="s">
        <v>日経225オプション 26-12 C 69000</v>
        <stp/>
        <stp>Market</stp>
        <stp>FOP</stp>
        <stp>191369018</stp>
        <stp>銘柄名称</stp>
        <tr r="AO148" s="1"/>
      </tp>
      <tp t="s">
        <v>日経225オプション 26-12 P 69500</v>
        <stp/>
        <stp>Market</stp>
        <stp>FOP</stp>
        <stp>181369518</stp>
        <stp>銘柄名称</stp>
        <tr r="BI149" s="1"/>
      </tp>
      <tp t="s">
        <v>日経225オプション 26-12 C 68500</v>
        <stp/>
        <stp>Market</stp>
        <stp>FOP</stp>
        <stp>191368518</stp>
        <stp>銘柄名称</stp>
        <tr r="AO147" s="1"/>
      </tp>
      <tp t="s">
        <v>日経225オプション 26-12 P 62000</v>
        <stp/>
        <stp>Market</stp>
        <stp>FOP</stp>
        <stp>131362018</stp>
        <stp>銘柄名称</stp>
        <tr r="BI134" s="1"/>
      </tp>
      <tp t="s">
        <v>日経225オプション 26-12 P 69000</v>
        <stp/>
        <stp>Market</stp>
        <stp>FOP</stp>
        <stp>181369018</stp>
        <stp>銘柄名称</stp>
        <tr r="BI148" s="1"/>
      </tp>
      <tp t="s">
        <v>日経225オプション 26-12 C 68000</v>
        <stp/>
        <stp>Market</stp>
        <stp>FOP</stp>
        <stp>191368018</stp>
        <stp>銘柄名称</stp>
        <tr r="AO146" s="1"/>
      </tp>
      <tp t="s">
        <v>日経225オプション 26-12 P 55500</v>
        <stp/>
        <stp>Market</stp>
        <stp>FOP</stp>
        <stp>131365518</stp>
        <stp>銘柄名称</stp>
        <tr r="BI121" s="1"/>
      </tp>
      <tp t="s">
        <v>日経225オプション 26-12 P 55000</v>
        <stp/>
        <stp>Market</stp>
        <stp>FOP</stp>
        <stp>131365018</stp>
        <stp>銘柄名称</stp>
        <tr r="BI120" s="1"/>
      </tp>
      <tp t="s">
        <v>日経225オプション 26-12 P 54500</v>
        <stp/>
        <stp>Market</stp>
        <stp>FOP</stp>
        <stp>131364518</stp>
        <stp>銘柄名称</stp>
        <tr r="BI119" s="1"/>
      </tp>
      <tp t="s">
        <v>日経225オプション 26-12 P 54000</v>
        <stp/>
        <stp>Market</stp>
        <stp>FOP</stp>
        <stp>131364018</stp>
        <stp>銘柄名称</stp>
        <tr r="BI118" s="1"/>
      </tp>
      <tp t="s">
        <v>日経225オプション 26-12 P 57500</v>
        <stp/>
        <stp>Market</stp>
        <stp>FOP</stp>
        <stp>131367518</stp>
        <stp>銘柄名称</stp>
        <tr r="BI125" s="1"/>
      </tp>
      <tp t="s">
        <v>日経225オプション 26-12 P 57000</v>
        <stp/>
        <stp>Market</stp>
        <stp>FOP</stp>
        <stp>131367018</stp>
        <stp>銘柄名称</stp>
        <tr r="BI124" s="1"/>
      </tp>
      <tp t="s">
        <v>日経225オプション 26-12 P 56500</v>
        <stp/>
        <stp>Market</stp>
        <stp>FOP</stp>
        <stp>131366518</stp>
        <stp>銘柄名称</stp>
        <tr r="BI123" s="1"/>
      </tp>
      <tp t="s">
        <v>日経225オプション 26-12 P 56000</v>
        <stp/>
        <stp>Market</stp>
        <stp>FOP</stp>
        <stp>131366018</stp>
        <stp>銘柄名称</stp>
        <tr r="BI122" s="1"/>
      </tp>
    </main>
    <main first="rtdsrv.48cf1ad348244608b72d359ebfbe4e5c">
      <tp t="s">
        <v>日経225オプション 26-11 P 69500</v>
        <stp/>
        <stp>Market</stp>
        <stp>FOP</stp>
        <stp>131239518</stp>
        <stp>銘柄名称</stp>
        <tr r="BI59" s="1"/>
      </tp>
      <tp t="s">
        <v>日経225オプション 26-11 P 59000</v>
        <stp/>
        <stp>Market</stp>
        <stp>FOP</stp>
        <stp>131239018</stp>
        <stp>銘柄名称</stp>
        <tr r="BI38" s="1"/>
      </tp>
      <tp t="s">
        <v>日経225オプション 26-11 P 68500</v>
        <stp/>
        <stp>Market</stp>
        <stp>FOP</stp>
        <stp>131238518</stp>
        <stp>銘柄名称</stp>
        <tr r="BI57" s="1"/>
      </tp>
      <tp t="s">
        <v>日経225オプション 26-11 C 82500</v>
        <stp/>
        <stp>Market</stp>
        <stp>FOP</stp>
        <stp>191232518</stp>
        <stp>銘柄名称</stp>
        <tr r="AO85" s="1"/>
      </tp>
      <tp t="s">
        <v>日経225オプション 26-11 P 58000</v>
        <stp/>
        <stp>Market</stp>
        <stp>FOP</stp>
        <stp>131238018</stp>
        <stp>銘柄名称</stp>
        <tr r="BI36" s="1"/>
      </tp>
      <tp t="s">
        <v>日経225オプション 26-11 C 67500</v>
        <stp/>
        <stp>Market</stp>
        <stp>FOP</stp>
        <stp>191237518</stp>
        <stp>銘柄名称</stp>
        <tr r="AO55" s="1"/>
      </tp>
      <tp t="s">
        <v>日経225オプション 26-11 P 66000</v>
        <stp/>
        <stp>Market</stp>
        <stp>FOP</stp>
        <stp>181236018</stp>
        <stp>銘柄名称</stp>
        <tr r="BI52" s="1"/>
      </tp>
      <tp t="s">
        <v>日経225オプション 26-11 P 67500</v>
        <stp/>
        <stp>Market</stp>
        <stp>FOP</stp>
        <stp>181237518</stp>
        <stp>銘柄名称</stp>
        <tr r="BI55" s="1"/>
      </tp>
      <tp t="s">
        <v>日経225オプション 26-11 C 76500</v>
        <stp/>
        <stp>Market</stp>
        <stp>FOP</stp>
        <stp>191236518</stp>
        <stp>銘柄名称</stp>
        <tr r="AO73" s="1"/>
      </tp>
      <tp t="s">
        <v>日経225オプション 26-11 C 66000</v>
        <stp/>
        <stp>Market</stp>
        <stp>FOP</stp>
        <stp>191236018</stp>
        <stp>銘柄名称</stp>
        <tr r="AO52" s="1"/>
      </tp>
      <tp t="s">
        <v>日経225オプション 26-11 C 68500</v>
        <stp/>
        <stp>Market</stp>
        <stp>FOP</stp>
        <stp>141238518</stp>
        <stp>銘柄名称</stp>
        <tr r="AO57" s="1"/>
      </tp>
      <tp t="s">
        <v>日経225オプション 26-11 C 75500</v>
        <stp/>
        <stp>Market</stp>
        <stp>FOP</stp>
        <stp>191235518</stp>
        <stp>銘柄名称</stp>
        <tr r="AO71" s="1"/>
      </tp>
      <tp t="s">
        <v>日経225オプション 26-11 C 69500</v>
        <stp/>
        <stp>Market</stp>
        <stp>FOP</stp>
        <stp>141239518</stp>
        <stp>銘柄名称</stp>
        <tr r="AO59" s="1"/>
      </tp>
      <tp t="s">
        <v>日経225オプション 26-11 C 74500</v>
        <stp/>
        <stp>Market</stp>
        <stp>FOP</stp>
        <stp>191234518</stp>
        <stp>銘柄名称</stp>
        <tr r="AO69" s="1"/>
      </tp>
      <tp t="s">
        <v>日経225オプション 26-11 C 66500</v>
        <stp/>
        <stp>Market</stp>
        <stp>FOP</stp>
        <stp>141236518</stp>
        <stp>銘柄名称</stp>
        <tr r="AO53" s="1"/>
      </tp>
      <tp t="s">
        <v>日経225オプション 26-11 P 61000</v>
        <stp/>
        <stp>Market</stp>
        <stp>FOP</stp>
        <stp>131231018</stp>
        <stp>銘柄名称</stp>
        <tr r="BI42" s="1"/>
      </tp>
      <tp t="s">
        <v>日経225オプション 26-11 P 70500</v>
        <stp/>
        <stp>Market</stp>
        <stp>FOP</stp>
        <stp>131230518</stp>
        <stp>銘柄名称</stp>
        <tr r="BI61" s="1"/>
      </tp>
      <tp t="s">
        <v>日経225オプション 26-11 C 77500</v>
        <stp/>
        <stp>Market</stp>
        <stp>FOP</stp>
        <stp>141237518</stp>
        <stp>銘柄名称</stp>
        <tr r="AO75" s="1"/>
      </tp>
      <tp t="s">
        <v>日経225オプション 26-11 P 60000</v>
        <stp/>
        <stp>Market</stp>
        <stp>FOP</stp>
        <stp>131230018</stp>
        <stp>銘柄名称</stp>
        <tr r="BI40" s="1"/>
      </tp>
      <tp t="s">
        <v>日経225オプション 26-11 C 79500</v>
        <stp/>
        <stp>Market</stp>
        <stp>FOP</stp>
        <stp>191239518</stp>
        <stp>銘柄名称</stp>
        <tr r="AO79" s="1"/>
      </tp>
      <tp t="s">
        <v>日経225オプション 26-11 P 63000</v>
        <stp/>
        <stp>Market</stp>
        <stp>FOP</stp>
        <stp>131233018</stp>
        <stp>銘柄名称</stp>
        <tr r="BI46" s="1"/>
      </tp>
      <tp t="s">
        <v>日経225オプション 26-11 P 62500</v>
        <stp/>
        <stp>Market</stp>
        <stp>FOP</stp>
        <stp>131232518</stp>
        <stp>銘柄名称</stp>
        <tr r="BI45" s="1"/>
      </tp>
      <tp t="s">
        <v>日経225オプション 26-11 C 65500</v>
        <stp/>
        <stp>Market</stp>
        <stp>FOP</stp>
        <stp>141235518</stp>
        <stp>銘柄名称</stp>
        <tr r="AO51" s="1"/>
      </tp>
      <tp t="s">
        <v>日経225オプション 26-11 C 78500</v>
        <stp/>
        <stp>Market</stp>
        <stp>FOP</stp>
        <stp>191238518</stp>
        <stp>銘柄名称</stp>
        <tr r="AO77" s="1"/>
      </tp>
      <tp t="s">
        <v>日経225オプション 26-11 P 62000</v>
        <stp/>
        <stp>Market</stp>
        <stp>FOP</stp>
        <stp>131232018</stp>
        <stp>銘柄名称</stp>
        <tr r="BI44" s="1"/>
      </tp>
      <tp t="s">
        <v>日経225オプション 26-11 C 65000</v>
        <stp/>
        <stp>Market</stp>
        <stp>FOP</stp>
        <stp>141235018</stp>
        <stp>銘柄名称</stp>
        <tr r="AO50" s="1"/>
      </tp>
      <tp t="s">
        <v>日経225オプション 26-11 P 65500</v>
        <stp/>
        <stp>Market</stp>
        <stp>FOP</stp>
        <stp>131235518</stp>
        <stp>銘柄名称</stp>
        <tr r="BI51" s="1"/>
      </tp>
      <tp t="s">
        <v>日経225オプション 26-11 P 65000</v>
        <stp/>
        <stp>Market</stp>
        <stp>FOP</stp>
        <stp>131235018</stp>
        <stp>銘柄名称</stp>
        <tr r="BI50" s="1"/>
      </tp>
      <tp t="s">
        <v>日経225オプション 26-11 P 64500</v>
        <stp/>
        <stp>Market</stp>
        <stp>FOP</stp>
        <stp>131234518</stp>
        <stp>銘柄名称</stp>
        <tr r="BI49" s="1"/>
      </tp>
      <tp t="s">
        <v>日経225オプション 26-11 C 73500</v>
        <stp/>
        <stp>Market</stp>
        <stp>FOP</stp>
        <stp>141233518</stp>
        <stp>銘柄名称</stp>
        <tr r="AO67" s="1"/>
      </tp>
      <tp t="s">
        <v>日経225オプション 26-11 P 64000</v>
        <stp/>
        <stp>Market</stp>
        <stp>FOP</stp>
        <stp>131234018</stp>
        <stp>銘柄名称</stp>
        <tr r="BI48" s="1"/>
      </tp>
      <tp t="s">
        <v>日経225オプション 26-11 C 70500</v>
        <stp/>
        <stp>Market</stp>
        <stp>FOP</stp>
        <stp>141230518</stp>
        <stp>銘柄名称</stp>
        <tr r="AO61" s="1"/>
      </tp>
      <tp t="s">
        <v>日経225オプション 26-11 P 57000</v>
        <stp/>
        <stp>Market</stp>
        <stp>FOP</stp>
        <stp>131237018</stp>
        <stp>銘柄名称</stp>
        <tr r="BI34" s="1"/>
      </tp>
      <tp t="s">
        <v>日経225オプション 26-11 P 66500</v>
        <stp/>
        <stp>Market</stp>
        <stp>FOP</stp>
        <stp>131236518</stp>
        <stp>銘柄名称</stp>
        <tr r="BI53" s="1"/>
      </tp>
      <tp t="s">
        <v>日経225オプション 26-11 C 71500</v>
        <stp/>
        <stp>Market</stp>
        <stp>FOP</stp>
        <stp>141231518</stp>
        <stp>銘柄名称</stp>
        <tr r="AO63" s="1"/>
      </tp>
      <tp t="s">
        <v>日経225オプション 26-11 P 56000</v>
        <stp/>
        <stp>Market</stp>
        <stp>FOP</stp>
        <stp>131236018</stp>
        <stp>銘柄名称</stp>
        <tr r="BI32" s="1"/>
      </tp>
      <tp t="s">
        <v>日経225オプション 26-12 P 62500</v>
        <stp/>
        <stp>Market</stp>
        <stp>FOP</stp>
        <stp>181242518</stp>
        <stp>銘柄名称</stp>
        <tr r="BI135" s="1"/>
      </tp>
      <tp t="s">
        <v>日経225オプション 26-12 P 52000</v>
        <stp/>
        <stp>Market</stp>
        <stp>FOP</stp>
        <stp>181242018</stp>
        <stp>銘柄名称</stp>
        <tr r="BI114" s="1"/>
      </tp>
      <tp t="s">
        <v>日経225オプション 26-12 P 50500</v>
        <stp/>
        <stp>Market</stp>
        <stp>FOP</stp>
        <stp>181240518</stp>
        <stp>銘柄名称</stp>
        <tr r="BI111" s="1"/>
      </tp>
      <tp t="s">
        <v>日経225オプション 26-12 P 50000</v>
        <stp/>
        <stp>Market</stp>
        <stp>FOP</stp>
        <stp>181240018</stp>
        <stp>銘柄名称</stp>
        <tr r="BI110" s="1"/>
      </tp>
      <tp t="s">
        <v>日経225オプション 26-12 P 51500</v>
        <stp/>
        <stp>Market</stp>
        <stp>FOP</stp>
        <stp>181241518</stp>
        <stp>銘柄名称</stp>
        <tr r="BI113" s="1"/>
      </tp>
      <tp t="s">
        <v>日経225オプション 26-12 P 51000</v>
        <stp/>
        <stp>Market</stp>
        <stp>FOP</stp>
        <stp>181241018</stp>
        <stp>銘柄名称</stp>
        <tr r="BI112" s="1"/>
      </tp>
      <tp t="s">
        <v>日経225オプション 26-12 P 46500</v>
        <stp/>
        <stp>Market</stp>
        <stp>FOP</stp>
        <stp>181246518</stp>
        <stp>銘柄名称</stp>
        <tr r="BI103" s="1"/>
      </tp>
      <tp t="s">
        <v>日経225オプション 26-12 P 46000</v>
        <stp/>
        <stp>Market</stp>
        <stp>FOP</stp>
        <stp>181246018</stp>
        <stp>銘柄名称</stp>
        <tr r="BI102" s="1"/>
      </tp>
      <tp t="s">
        <v>日経225オプション 26-12 P 47500</v>
        <stp/>
        <stp>Market</stp>
        <stp>FOP</stp>
        <stp>181247518</stp>
        <stp>銘柄名称</stp>
        <tr r="BI105" s="1"/>
      </tp>
      <tp t="s">
        <v>日経225オプション 26-12 P 47000</v>
        <stp/>
        <stp>Market</stp>
        <stp>FOP</stp>
        <stp>181247018</stp>
        <stp>銘柄名称</stp>
        <tr r="BI104" s="1"/>
      </tp>
      <tp t="s">
        <v>日経225オプション 26-12 P 48500</v>
        <stp/>
        <stp>Market</stp>
        <stp>FOP</stp>
        <stp>181248518</stp>
        <stp>銘柄名称</stp>
        <tr r="BI107" s="1"/>
      </tp>
      <tp t="s">
        <v>日経225オプション 26-12 P 48000</v>
        <stp/>
        <stp>Market</stp>
        <stp>FOP</stp>
        <stp>181248018</stp>
        <stp>銘柄名称</stp>
        <tr r="BI106" s="1"/>
      </tp>
      <tp t="s">
        <v>日経225オプション 26-12 P 49500</v>
        <stp/>
        <stp>Market</stp>
        <stp>FOP</stp>
        <stp>181249518</stp>
        <stp>銘柄名称</stp>
        <tr r="BI109" s="1"/>
      </tp>
      <tp t="s">
        <v>日経225オプション 26-12 P 49000</v>
        <stp/>
        <stp>Market</stp>
        <stp>FOP</stp>
        <stp>181249018</stp>
        <stp>銘柄名称</stp>
        <tr r="BI108" s="1"/>
      </tp>
    </main>
    <main first="rtdsrv.48cf1ad348244608b72d359ebfbe4e5c">
      <tp t="s">
        <v>日経225ミニ 26-11</v>
        <stp/>
        <stp>Market</stp>
        <stp>FOP</stp>
        <stp>161110019</stp>
        <stp>銘柄名称</stp>
        <tr r="AO10" s="1"/>
      </tp>
      <tp t="s">
        <v>日経225オプション 26-11 P 49500</v>
        <stp/>
        <stp>Market</stp>
        <stp>FOP</stp>
        <stp>131119518</stp>
        <stp>銘柄名称</stp>
        <tr r="BI19" s="1"/>
      </tp>
      <tp t="s">
        <v>日経225オプション 26-11 P 52000</v>
        <stp/>
        <stp>Market</stp>
        <stp>FOP</stp>
        <stp>181112018</stp>
        <stp>銘柄名称</stp>
        <tr r="BI24" s="1"/>
      </tp>
      <tp t="s">
        <v>日経225オプション 26-11 P 48500</v>
        <stp/>
        <stp>Market</stp>
        <stp>FOP</stp>
        <stp>131118518</stp>
        <stp>銘柄名称</stp>
        <tr r="BI17" s="1"/>
      </tp>
      <tp t="s">
        <v>日経225オプション 26-11 P 63500</v>
        <stp/>
        <stp>Market</stp>
        <stp>FOP</stp>
        <stp>181113518</stp>
        <stp>銘柄名称</stp>
        <tr r="BI47" s="1"/>
      </tp>
      <tp t="s">
        <v>日経225オプション 26-11 C 72500</v>
        <stp/>
        <stp>Market</stp>
        <stp>FOP</stp>
        <stp>191112518</stp>
        <stp>銘柄名称</stp>
        <tr r="AO65" s="1"/>
      </tp>
      <tp t="s">
        <v>日経225オプション 26-11 P 53000</v>
        <stp/>
        <stp>Market</stp>
        <stp>FOP</stp>
        <stp>181113018</stp>
        <stp>銘柄名称</stp>
        <tr r="BI26" s="1"/>
      </tp>
      <tp t="s">
        <v>日経225オプション 26-11 P 60500</v>
        <stp/>
        <stp>Market</stp>
        <stp>FOP</stp>
        <stp>181110518</stp>
        <stp>銘柄名称</stp>
        <tr r="BI41" s="1"/>
      </tp>
      <tp t="s">
        <v>日経225オプション 26-11 P 50000</v>
        <stp/>
        <stp>Market</stp>
        <stp>FOP</stp>
        <stp>181110018</stp>
        <stp>銘柄名称</stp>
        <tr r="BI20" s="1"/>
      </tp>
      <tp t="s">
        <v>日経225オプション 26-11 P 61500</v>
        <stp/>
        <stp>Market</stp>
        <stp>FOP</stp>
        <stp>181111518</stp>
        <stp>銘柄名称</stp>
        <tr r="BI43" s="1"/>
      </tp>
      <tp t="s">
        <v>日経225オプション 26-11 P 51000</v>
        <stp/>
        <stp>Market</stp>
        <stp>FOP</stp>
        <stp>181111018</stp>
        <stp>銘柄名称</stp>
        <tr r="BI22" s="1"/>
      </tp>
      <tp t="s">
        <v>日経225オプション 26-11 P 56500</v>
        <stp/>
        <stp>Market</stp>
        <stp>FOP</stp>
        <stp>181116518</stp>
        <stp>銘柄名称</stp>
        <tr r="BI33" s="1"/>
      </tp>
      <tp t="s">
        <v>日経225オプション 26-11 P 46000</v>
        <stp/>
        <stp>Market</stp>
        <stp>FOP</stp>
        <stp>181116018</stp>
        <stp>銘柄名称</stp>
        <tr r="BI12" s="1"/>
      </tp>
      <tp t="s">
        <v>日経225オプション 26-11 P 57500</v>
        <stp/>
        <stp>Market</stp>
        <stp>FOP</stp>
        <stp>181117518</stp>
        <stp>銘柄名称</stp>
        <tr r="BI35" s="1"/>
      </tp>
      <tp t="s">
        <v>日経225オプション 26-11 P 47000</v>
        <stp/>
        <stp>Market</stp>
        <stp>FOP</stp>
        <stp>181117018</stp>
        <stp>銘柄名称</stp>
        <tr r="BI14" s="1"/>
      </tp>
      <tp t="s">
        <v>日経225オプション 26-11 P 54000</v>
        <stp/>
        <stp>Market</stp>
        <stp>FOP</stp>
        <stp>181114018</stp>
        <stp>銘柄名称</stp>
        <tr r="BI28" s="1"/>
      </tp>
      <tp t="s">
        <v>日経225オプション 26-11 P 55500</v>
        <stp/>
        <stp>Market</stp>
        <stp>FOP</stp>
        <stp>181115518</stp>
        <stp>銘柄名称</stp>
        <tr r="BI31" s="1"/>
      </tp>
      <tp t="s">
        <v>日経225オプション 26-11 P 55000</v>
        <stp/>
        <stp>Market</stp>
        <stp>FOP</stp>
        <stp>181115018</stp>
        <stp>銘柄名称</stp>
        <tr r="BI30" s="1"/>
      </tp>
      <tp t="s">
        <v>日経225オプション 26-11 P 51500</v>
        <stp/>
        <stp>Market</stp>
        <stp>FOP</stp>
        <stp>131111518</stp>
        <stp>銘柄名称</stp>
        <tr r="BI23" s="1"/>
      </tp>
      <tp t="s">
        <v>日経225オプション 26-11 P 50500</v>
        <stp/>
        <stp>Market</stp>
        <stp>FOP</stp>
        <stp>131110518</stp>
        <stp>銘柄名称</stp>
        <tr r="BI21" s="1"/>
      </tp>
      <tp t="s">
        <v>日経225オプション 26-11 P 53500</v>
        <stp/>
        <stp>Market</stp>
        <stp>FOP</stp>
        <stp>131113518</stp>
        <stp>銘柄名称</stp>
        <tr r="BI27" s="1"/>
      </tp>
      <tp t="s">
        <v>日経225オプション 26-11 P 58500</v>
        <stp/>
        <stp>Market</stp>
        <stp>FOP</stp>
        <stp>181118518</stp>
        <stp>銘柄名称</stp>
        <tr r="BI37" s="1"/>
      </tp>
      <tp t="s">
        <v>日経225オプション 26-11 P 48000</v>
        <stp/>
        <stp>Market</stp>
        <stp>FOP</stp>
        <stp>181118018</stp>
        <stp>銘柄名称</stp>
        <tr r="BI16" s="1"/>
      </tp>
      <tp t="s">
        <v>日経225オプション 26-11 P 52500</v>
        <stp/>
        <stp>Market</stp>
        <stp>FOP</stp>
        <stp>131112518</stp>
        <stp>銘柄名称</stp>
        <tr r="BI25" s="1"/>
      </tp>
      <tp t="s">
        <v>日経225オプション 26-11 P 59500</v>
        <stp/>
        <stp>Market</stp>
        <stp>FOP</stp>
        <stp>181119518</stp>
        <stp>銘柄名称</stp>
        <tr r="BI39" s="1"/>
      </tp>
      <tp t="s">
        <v>日経225オプション 26-11 P 49000</v>
        <stp/>
        <stp>Market</stp>
        <stp>FOP</stp>
        <stp>181119018</stp>
        <stp>銘柄名称</stp>
        <tr r="BI18" s="1"/>
      </tp>
      <tp t="s">
        <v>日経225オプション 26-11 P 54500</v>
        <stp/>
        <stp>Market</stp>
        <stp>FOP</stp>
        <stp>131114518</stp>
        <stp>銘柄名称</stp>
        <tr r="BI29" s="1"/>
      </tp>
      <tp t="s">
        <v>日経225オプション 26-11 P 47500</v>
        <stp/>
        <stp>Market</stp>
        <stp>FOP</stp>
        <stp>131117518</stp>
        <stp>銘柄名称</stp>
        <tr r="BI15" s="1"/>
      </tp>
      <tp t="s">
        <v>日経225オプション 26-11 P 46500</v>
        <stp/>
        <stp>Market</stp>
        <stp>FOP</stp>
        <stp>131116518</stp>
        <stp>銘柄名称</stp>
        <tr r="BI13" s="1"/>
      </tp>
      <tp t="s">
        <v>日経225ミニ 26-12</v>
        <stp/>
        <stp>Market</stp>
        <stp>FOP</stp>
        <stp>161120019</stp>
        <stp>銘柄名称</stp>
        <tr r="AO11" s="1"/>
      </tp>
      <tp>
        <v>0</v>
        <stp/>
        <stp>Market</stp>
        <stp>FOP</stp>
        <stp>181116518</stp>
        <stp>出来高</stp>
        <tr r="BU33" s="1"/>
      </tp>
      <tp>
        <v>0</v>
        <stp/>
        <stp>Market</stp>
        <stp>FOP</stp>
        <stp>181117518</stp>
        <stp>出来高</stp>
        <tr r="BU35" s="1"/>
      </tp>
      <tp>
        <v>0</v>
        <stp/>
        <stp>Market</stp>
        <stp>FOP</stp>
        <stp>181115518</stp>
        <stp>出来高</stp>
        <tr r="BU31" s="1"/>
      </tp>
      <tp>
        <v>0</v>
        <stp/>
        <stp>Market</stp>
        <stp>FOP</stp>
        <stp>131119518</stp>
        <stp>出来高</stp>
        <tr r="BU19" s="1"/>
      </tp>
      <tp>
        <v>0</v>
        <stp/>
        <stp>Market</stp>
        <stp>FOP</stp>
        <stp>131118518</stp>
        <stp>出来高</stp>
        <tr r="BU17" s="1"/>
      </tp>
      <tp>
        <v>0</v>
        <stp/>
        <stp>Market</stp>
        <stp>FOP</stp>
        <stp>181113518</stp>
        <stp>出来高</stp>
        <tr r="BU47" s="1"/>
      </tp>
      <tp>
        <v>1</v>
        <stp/>
        <stp>Market</stp>
        <stp>FOP</stp>
        <stp>191112518</stp>
        <stp>出来高</stp>
        <tr r="BA65" s="1"/>
      </tp>
      <tp>
        <v>0</v>
        <stp/>
        <stp>Market</stp>
        <stp>FOP</stp>
        <stp>181110518</stp>
        <stp>出来高</stp>
        <tr r="BU41" s="1"/>
      </tp>
      <tp>
        <v>0</v>
        <stp/>
        <stp>Market</stp>
        <stp>FOP</stp>
        <stp>181111518</stp>
        <stp>出来高</stp>
        <tr r="BU43" s="1"/>
      </tp>
      <tp>
        <v>1</v>
        <stp/>
        <stp>Market</stp>
        <stp>FOP</stp>
        <stp>131114518</stp>
        <stp>出来高</stp>
        <tr r="BU29" s="1"/>
      </tp>
      <tp>
        <v>0</v>
        <stp/>
        <stp>Market</stp>
        <stp>FOP</stp>
        <stp>131117518</stp>
        <stp>出来高</stp>
        <tr r="BU15" s="1"/>
      </tp>
      <tp>
        <v>0</v>
        <stp/>
        <stp>Market</stp>
        <stp>FOP</stp>
        <stp>131116518</stp>
        <stp>出来高</stp>
        <tr r="BU13" s="1"/>
      </tp>
      <tp>
        <v>0</v>
        <stp/>
        <stp>Market</stp>
        <stp>FOP</stp>
        <stp>131111518</stp>
        <stp>出来高</stp>
        <tr r="BU23" s="1"/>
      </tp>
      <tp>
        <v>0</v>
        <stp/>
        <stp>Market</stp>
        <stp>FOP</stp>
        <stp>131110518</stp>
        <stp>出来高</stp>
        <tr r="BU21" s="1"/>
      </tp>
      <tp>
        <v>0</v>
        <stp/>
        <stp>Market</stp>
        <stp>FOP</stp>
        <stp>131113518</stp>
        <stp>出来高</stp>
        <tr r="BU27" s="1"/>
      </tp>
      <tp>
        <v>2</v>
        <stp/>
        <stp>Market</stp>
        <stp>FOP</stp>
        <stp>181118518</stp>
        <stp>出来高</stp>
        <tr r="BU37" s="1"/>
      </tp>
      <tp>
        <v>0</v>
        <stp/>
        <stp>Market</stp>
        <stp>FOP</stp>
        <stp>131112518</stp>
        <stp>出来高</stp>
        <tr r="BU25" s="1"/>
      </tp>
      <tp>
        <v>0</v>
        <stp/>
        <stp>Market</stp>
        <stp>FOP</stp>
        <stp>181119518</stp>
        <stp>出来高</stp>
        <tr r="BU39" s="1"/>
      </tp>
      <tp>
        <v>0</v>
        <stp/>
        <stp>Market</stp>
        <stp>FOP</stp>
        <stp>181246518</stp>
        <stp>出来高</stp>
        <tr r="BU103" s="1"/>
      </tp>
      <tp>
        <v>0</v>
        <stp/>
        <stp>Market</stp>
        <stp>FOP</stp>
        <stp>181247518</stp>
        <stp>出来高</stp>
        <tr r="BU105" s="1"/>
      </tp>
      <tp>
        <v>0</v>
        <stp/>
        <stp>Market</stp>
        <stp>FOP</stp>
        <stp>181242518</stp>
        <stp>出来高</stp>
        <tr r="BU135" s="1"/>
      </tp>
      <tp>
        <v>0</v>
        <stp/>
        <stp>Market</stp>
        <stp>FOP</stp>
        <stp>181240518</stp>
        <stp>出来高</stp>
        <tr r="BU111" s="1"/>
      </tp>
      <tp>
        <v>0</v>
        <stp/>
        <stp>Market</stp>
        <stp>FOP</stp>
        <stp>181241518</stp>
        <stp>出来高</stp>
        <tr r="BU113" s="1"/>
      </tp>
      <tp>
        <v>0</v>
        <stp/>
        <stp>Market</stp>
        <stp>FOP</stp>
        <stp>181248518</stp>
        <stp>出来高</stp>
        <tr r="BU107" s="1"/>
      </tp>
      <tp>
        <v>0</v>
        <stp/>
        <stp>Market</stp>
        <stp>FOP</stp>
        <stp>181249518</stp>
        <stp>出来高</stp>
        <tr r="BU109" s="1"/>
      </tp>
      <tp>
        <v>0</v>
        <stp/>
        <stp>Market</stp>
        <stp>FOP</stp>
        <stp>191237518</stp>
        <stp>出来高</stp>
        <tr r="BA55" s="1"/>
      </tp>
      <tp>
        <v>0</v>
        <stp/>
        <stp>Market</stp>
        <stp>FOP</stp>
        <stp>181237518</stp>
        <stp>出来高</stp>
        <tr r="BU55" s="1"/>
      </tp>
      <tp>
        <v>0</v>
        <stp/>
        <stp>Market</stp>
        <stp>FOP</stp>
        <stp>191236518</stp>
        <stp>出来高</stp>
        <tr r="BA73" s="1"/>
      </tp>
      <tp>
        <v>0</v>
        <stp/>
        <stp>Market</stp>
        <stp>FOP</stp>
        <stp>141238518</stp>
        <stp>出来高</stp>
        <tr r="BA57" s="1"/>
      </tp>
      <tp>
        <v>6</v>
        <stp/>
        <stp>Market</stp>
        <stp>FOP</stp>
        <stp>191235518</stp>
        <stp>出来高</stp>
        <tr r="BA71" s="1"/>
      </tp>
      <tp>
        <v>0</v>
        <stp/>
        <stp>Market</stp>
        <stp>FOP</stp>
        <stp>141239518</stp>
        <stp>出来高</stp>
        <tr r="BA59" s="1"/>
      </tp>
      <tp>
        <v>0</v>
        <stp/>
        <stp>Market</stp>
        <stp>FOP</stp>
        <stp>191234518</stp>
        <stp>出来高</stp>
        <tr r="BA69" s="1"/>
      </tp>
      <tp>
        <v>0</v>
        <stp/>
        <stp>Market</stp>
        <stp>FOP</stp>
        <stp>131239518</stp>
        <stp>出来高</stp>
        <tr r="BU59" s="1"/>
      </tp>
      <tp>
        <v>0</v>
        <stp/>
        <stp>Market</stp>
        <stp>FOP</stp>
        <stp>131238518</stp>
        <stp>出来高</stp>
        <tr r="BU57" s="1"/>
      </tp>
      <tp>
        <v>9</v>
        <stp/>
        <stp>Market</stp>
        <stp>FOP</stp>
        <stp>191232518</stp>
        <stp>出来高</stp>
        <tr r="BA85" s="1"/>
      </tp>
      <tp>
        <v>0</v>
        <stp/>
        <stp>Market</stp>
        <stp>FOP</stp>
        <stp>131235518</stp>
        <stp>出来高</stp>
        <tr r="BU51" s="1"/>
      </tp>
      <tp>
        <v>2</v>
        <stp/>
        <stp>Market</stp>
        <stp>FOP</stp>
        <stp>131234518</stp>
        <stp>出来高</stp>
        <tr r="BU49" s="1"/>
      </tp>
      <tp>
        <v>5</v>
        <stp/>
        <stp>Market</stp>
        <stp>FOP</stp>
        <stp>141233518</stp>
        <stp>出来高</stp>
        <tr r="BA67" s="1"/>
      </tp>
      <tp>
        <v>2</v>
        <stp/>
        <stp>Market</stp>
        <stp>FOP</stp>
        <stp>141230518</stp>
        <stp>出来高</stp>
        <tr r="BA61" s="1"/>
      </tp>
      <tp>
        <v>1</v>
        <stp/>
        <stp>Market</stp>
        <stp>FOP</stp>
        <stp>131236518</stp>
        <stp>出来高</stp>
        <tr r="BU53" s="1"/>
      </tp>
      <tp>
        <v>1</v>
        <stp/>
        <stp>Market</stp>
        <stp>FOP</stp>
        <stp>141231518</stp>
        <stp>出来高</stp>
        <tr r="BA63" s="1"/>
      </tp>
      <tp>
        <v>0</v>
        <stp/>
        <stp>Market</stp>
        <stp>FOP</stp>
        <stp>141236518</stp>
        <stp>出来高</stp>
        <tr r="BA53" s="1"/>
      </tp>
      <tp>
        <v>0</v>
        <stp/>
        <stp>Market</stp>
        <stp>FOP</stp>
        <stp>131230518</stp>
        <stp>出来高</stp>
        <tr r="BU61" s="1"/>
      </tp>
      <tp>
        <v>5</v>
        <stp/>
        <stp>Market</stp>
        <stp>FOP</stp>
        <stp>141237518</stp>
        <stp>出来高</stp>
        <tr r="BA75" s="1"/>
      </tp>
      <tp>
        <v>3</v>
        <stp/>
        <stp>Market</stp>
        <stp>FOP</stp>
        <stp>191239518</stp>
        <stp>出来高</stp>
        <tr r="BA79" s="1"/>
      </tp>
      <tp>
        <v>0</v>
        <stp/>
        <stp>Market</stp>
        <stp>FOP</stp>
        <stp>131232518</stp>
        <stp>出来高</stp>
        <tr r="BU45" s="1"/>
      </tp>
      <tp>
        <v>0</v>
        <stp/>
        <stp>Market</stp>
        <stp>FOP</stp>
        <stp>141235518</stp>
        <stp>出来高</stp>
        <tr r="BA51" s="1"/>
      </tp>
      <tp>
        <v>1</v>
        <stp/>
        <stp>Market</stp>
        <stp>FOP</stp>
        <stp>191238518</stp>
        <stp>出来高</stp>
        <tr r="BA77" s="1"/>
      </tp>
      <tp>
        <v>5</v>
        <stp/>
        <stp>Market</stp>
        <stp>FOP</stp>
        <stp>141357518</stp>
        <stp>出来高</stp>
        <tr r="BA95" s="1"/>
      </tp>
      <tp>
        <v>0</v>
        <stp/>
        <stp>Market</stp>
        <stp>FOP</stp>
        <stp>181366518</stp>
        <stp>出来高</stp>
        <tr r="BU143" s="1"/>
      </tp>
      <tp>
        <v>0</v>
        <stp/>
        <stp>Market</stp>
        <stp>FOP</stp>
        <stp>191367518</stp>
        <stp>出来高</stp>
        <tr r="BA165" s="1"/>
      </tp>
      <tp>
        <v>0</v>
        <stp/>
        <stp>Market</stp>
        <stp>FOP</stp>
        <stp>191366518</stp>
        <stp>出来高</stp>
        <tr r="BA143" s="1"/>
      </tp>
      <tp>
        <v>0</v>
        <stp/>
        <stp>Market</stp>
        <stp>FOP</stp>
        <stp>181364518</stp>
        <stp>出来高</stp>
        <tr r="BU139" s="1"/>
      </tp>
      <tp>
        <v>0</v>
        <stp/>
        <stp>Market</stp>
        <stp>FOP</stp>
        <stp>191365518</stp>
        <stp>出来高</stp>
        <tr r="BA141" s="1"/>
      </tp>
      <tp>
        <v>0</v>
        <stp/>
        <stp>Market</stp>
        <stp>FOP</stp>
        <stp>181365518</stp>
        <stp>出来高</stp>
        <tr r="BU141" s="1"/>
      </tp>
      <tp>
        <v>0</v>
        <stp/>
        <stp>Market</stp>
        <stp>FOP</stp>
        <stp>131369518</stp>
        <stp>出来高</stp>
        <tr r="BU129" s="1"/>
      </tp>
      <tp>
        <v>0</v>
        <stp/>
        <stp>Market</stp>
        <stp>FOP</stp>
        <stp>181362518</stp>
        <stp>出来高</stp>
        <tr r="BU115" s="1"/>
      </tp>
      <tp>
        <v>0</v>
        <stp/>
        <stp>Market</stp>
        <stp>FOP</stp>
        <stp>131368518</stp>
        <stp>出来高</stp>
        <tr r="BU127" s="1"/>
      </tp>
      <tp>
        <v>0</v>
        <stp/>
        <stp>Market</stp>
        <stp>FOP</stp>
        <stp>181363518</stp>
        <stp>出来高</stp>
        <tr r="BU137" s="1"/>
      </tp>
      <tp>
        <v>0</v>
        <stp/>
        <stp>Market</stp>
        <stp>FOP</stp>
        <stp>181360518</stp>
        <stp>出来高</stp>
        <tr r="BU151" s="1"/>
      </tp>
      <tp>
        <v>0</v>
        <stp/>
        <stp>Market</stp>
        <stp>FOP</stp>
        <stp>191361518</stp>
        <stp>出来高</stp>
        <tr r="BA153" s="1"/>
      </tp>
      <tp>
        <v>0</v>
        <stp/>
        <stp>Market</stp>
        <stp>FOP</stp>
        <stp>191360518</stp>
        <stp>出来高</stp>
        <tr r="BA151" s="1"/>
      </tp>
      <tp>
        <v>0</v>
        <stp/>
        <stp>Market</stp>
        <stp>FOP</stp>
        <stp>131365518</stp>
        <stp>出来高</stp>
        <tr r="BU121" s="1"/>
      </tp>
      <tp>
        <v>0</v>
        <stp/>
        <stp>Market</stp>
        <stp>FOP</stp>
        <stp>131364518</stp>
        <stp>出来高</stp>
        <tr r="BU119" s="1"/>
      </tp>
      <tp>
        <v>0</v>
        <stp/>
        <stp>Market</stp>
        <stp>FOP</stp>
        <stp>131367518</stp>
        <stp>出来高</stp>
        <tr r="BU125" s="1"/>
      </tp>
      <tp>
        <v>0</v>
        <stp/>
        <stp>Market</stp>
        <stp>FOP</stp>
        <stp>131366518</stp>
        <stp>出来高</stp>
        <tr r="BU123" s="1"/>
      </tp>
      <tp>
        <v>0</v>
        <stp/>
        <stp>Market</stp>
        <stp>FOP</stp>
        <stp>131361518</stp>
        <stp>出来高</stp>
        <tr r="BU133" s="1"/>
      </tp>
      <tp>
        <v>0</v>
        <stp/>
        <stp>Market</stp>
        <stp>FOP</stp>
        <stp>131360518</stp>
        <stp>出来高</stp>
        <tr r="BU131" s="1"/>
      </tp>
      <tp>
        <v>0</v>
        <stp/>
        <stp>Market</stp>
        <stp>FOP</stp>
        <stp>131363518</stp>
        <stp>出来高</stp>
        <tr r="BU117" s="1"/>
      </tp>
      <tp>
        <v>0</v>
        <stp/>
        <stp>Market</stp>
        <stp>FOP</stp>
        <stp>181368518</stp>
        <stp>出来高</stp>
        <tr r="BU147" s="1"/>
      </tp>
      <tp>
        <v>0</v>
        <stp/>
        <stp>Market</stp>
        <stp>FOP</stp>
        <stp>191369518</stp>
        <stp>出来高</stp>
        <tr r="BA149" s="1"/>
      </tp>
      <tp>
        <v>0</v>
        <stp/>
        <stp>Market</stp>
        <stp>FOP</stp>
        <stp>181369518</stp>
        <stp>出来高</stp>
        <tr r="BU149" s="1"/>
      </tp>
      <tp>
        <v>0</v>
        <stp/>
        <stp>Market</stp>
        <stp>FOP</stp>
        <stp>191368518</stp>
        <stp>出来高</stp>
        <tr r="BA147" s="1"/>
      </tp>
      <tp>
        <v>0</v>
        <stp/>
        <stp>Market</stp>
        <stp>FOP</stp>
        <stp>191487518</stp>
        <stp>出来高</stp>
        <tr r="BA185" s="1"/>
      </tp>
      <tp>
        <v>0</v>
        <stp/>
        <stp>Market</stp>
        <stp>FOP</stp>
        <stp>191482518</stp>
        <stp>出来高</stp>
        <tr r="BA175" s="1"/>
      </tp>
      <tp>
        <v>1</v>
        <stp/>
        <stp>Market</stp>
        <stp>FOP</stp>
        <stp>141482518</stp>
        <stp>出来高</stp>
        <tr r="BA155" s="1"/>
      </tp>
      <tp>
        <v>0</v>
        <stp/>
        <stp>Market</stp>
        <stp>FOP</stp>
        <stp>141483518</stp>
        <stp>出来高</stp>
        <tr r="BA157" s="1"/>
      </tp>
      <tp>
        <v>0</v>
        <stp/>
        <stp>Market</stp>
        <stp>FOP</stp>
        <stp>131487518</stp>
        <stp>出来高</stp>
        <tr r="BU145" s="1"/>
      </tp>
      <tp>
        <v>0</v>
        <stp/>
        <stp>Market</stp>
        <stp>FOP</stp>
        <stp>141487518</stp>
        <stp>出来高</stp>
        <tr r="BA145" s="1"/>
      </tp>
      <tp>
        <v>0</v>
        <stp/>
        <stp>Market</stp>
        <stp>FOP</stp>
        <stp>141484518</stp>
        <stp>出来高</stp>
        <tr r="BA159" s="1"/>
      </tp>
      <tp>
        <v>0</v>
        <stp/>
        <stp>Market</stp>
        <stp>FOP</stp>
        <stp>141485518</stp>
        <stp>出来高</stp>
        <tr r="BA161" s="1"/>
      </tp>
      <tp>
        <v>60</v>
        <stp/>
        <stp>Market</stp>
        <stp>FOP</stp>
        <stp>191482518</stp>
        <stp>最良売気配値1</stp>
        <tr r="AV175" s="1"/>
      </tp>
      <tp>
        <v>40</v>
        <stp/>
        <stp>Market</stp>
        <stp>FOP</stp>
        <stp>191487518</stp>
        <stp>最良売気配値1</stp>
        <tr r="AV185" s="1"/>
      </tp>
      <tp>
        <v>3030</v>
        <stp/>
        <stp>Market</stp>
        <stp>FOP</stp>
        <stp>141487518</stp>
        <stp>最良売気配値1</stp>
        <tr r="AV145" s="1"/>
      </tp>
      <tp>
        <v>610</v>
        <stp/>
        <stp>Market</stp>
        <stp>FOP</stp>
        <stp>141484518</stp>
        <stp>最良売気配値1</stp>
        <tr r="AV159" s="1"/>
      </tp>
      <tp>
        <v>465</v>
        <stp/>
        <stp>Market</stp>
        <stp>FOP</stp>
        <stp>141485518</stp>
        <stp>最良売気配値1</stp>
        <tr r="AV161" s="1"/>
      </tp>
      <tp>
        <v>1010</v>
        <stp/>
        <stp>Market</stp>
        <stp>FOP</stp>
        <stp>141482518</stp>
        <stp>最良売気配値1</stp>
        <tr r="AV155" s="1"/>
      </tp>
      <tp>
        <v>795</v>
        <stp/>
        <stp>Market</stp>
        <stp>FOP</stp>
        <stp>141483518</stp>
        <stp>最良売気配値1</stp>
        <tr r="AV157" s="1"/>
      </tp>
      <tp>
        <v>2440</v>
        <stp/>
        <stp>Market</stp>
        <stp>FOP</stp>
        <stp>131487518</stp>
        <stp>最良売気配値1</stp>
        <tr r="BP145" s="1"/>
      </tp>
      <tp>
        <v>45</v>
        <stp/>
        <stp>Market</stp>
        <stp>FOP</stp>
        <stp>131119518</stp>
        <stp>最良売気配値1</stp>
        <tr r="BP19" s="1"/>
      </tp>
      <tp>
        <v>47</v>
        <stp/>
        <stp>Market</stp>
        <stp>FOP</stp>
        <stp>131118518</stp>
        <stp>最良売気配値1</stp>
        <tr r="BP17" s="1"/>
      </tp>
      <tp>
        <v>585</v>
        <stp/>
        <stp>Market</stp>
        <stp>FOP</stp>
        <stp>181113518</stp>
        <stp>最良売気配値1</stp>
        <tr r="BP47" s="1"/>
      </tp>
      <tp>
        <v>420</v>
        <stp/>
        <stp>Market</stp>
        <stp>FOP</stp>
        <stp>191112518</stp>
        <stp>最良売気配値1</stp>
        <tr r="AV65" s="1"/>
      </tp>
      <tp>
        <v>282</v>
        <stp/>
        <stp>Market</stp>
        <stp>FOP</stp>
        <stp>181110518</stp>
        <stp>最良売気配値1</stp>
        <tr r="BP41" s="1"/>
      </tp>
      <tp>
        <v>400</v>
        <stp/>
        <stp>Market</stp>
        <stp>FOP</stp>
        <stp>181111518</stp>
        <stp>最良売気配値1</stp>
        <tr r="BP43" s="1"/>
      </tp>
      <tp>
        <v>128</v>
        <stp/>
        <stp>Market</stp>
        <stp>FOP</stp>
        <stp>181116518</stp>
        <stp>最良売気配値1</stp>
        <tr r="BP33" s="1"/>
      </tp>
      <tp>
        <v>154</v>
        <stp/>
        <stp>Market</stp>
        <stp>FOP</stp>
        <stp>181117518</stp>
        <stp>最良売気配値1</stp>
        <tr r="BP35" s="1"/>
      </tp>
      <tp>
        <v>108</v>
        <stp/>
        <stp>Market</stp>
        <stp>FOP</stp>
        <stp>181115518</stp>
        <stp>最良売気配値1</stp>
        <tr r="BP31" s="1"/>
      </tp>
      <tp>
        <v>60</v>
        <stp/>
        <stp>Market</stp>
        <stp>FOP</stp>
        <stp>131111518</stp>
        <stp>最良売気配値1</stp>
        <tr r="BP23" s="1"/>
      </tp>
      <tp>
        <v>52</v>
        <stp/>
        <stp>Market</stp>
        <stp>FOP</stp>
        <stp>131110518</stp>
        <stp>最良売気配値1</stp>
        <tr r="BP21" s="1"/>
      </tp>
      <tp>
        <v>79</v>
        <stp/>
        <stp>Market</stp>
        <stp>FOP</stp>
        <stp>131113518</stp>
        <stp>最良売気配値1</stp>
        <tr r="BP27" s="1"/>
      </tp>
      <tp>
        <v>185</v>
        <stp/>
        <stp>Market</stp>
        <stp>FOP</stp>
        <stp>181118518</stp>
        <stp>最良売気配値1</stp>
        <tr r="BP37" s="1"/>
      </tp>
      <tp>
        <v>68</v>
        <stp/>
        <stp>Market</stp>
        <stp>FOP</stp>
        <stp>131112518</stp>
        <stp>最良売気配値1</stp>
        <tr r="BP25" s="1"/>
      </tp>
      <tp>
        <v>228</v>
        <stp/>
        <stp>Market</stp>
        <stp>FOP</stp>
        <stp>181119518</stp>
        <stp>最良売気配値1</stp>
        <tr r="BP39" s="1"/>
      </tp>
      <tp>
        <v>93</v>
        <stp/>
        <stp>Market</stp>
        <stp>FOP</stp>
        <stp>131114518</stp>
        <stp>最良売気配値1</stp>
        <tr r="BP29" s="1"/>
      </tp>
      <tp>
        <v>40</v>
        <stp/>
        <stp>Market</stp>
        <stp>FOP</stp>
        <stp>131117518</stp>
        <stp>最良売気配値1</stp>
        <tr r="BP15" s="1"/>
      </tp>
      <tp>
        <v>37</v>
        <stp/>
        <stp>Market</stp>
        <stp>FOP</stp>
        <stp>131116518</stp>
        <stp>最良売気配値1</stp>
        <tr r="BP13" s="1"/>
      </tp>
      <tp>
        <v>2760</v>
        <stp/>
        <stp>Market</stp>
        <stp>FOP</stp>
        <stp>131239518</stp>
        <stp>最良売気配値1</stp>
        <tr r="BP59" s="1"/>
      </tp>
      <tp>
        <v>2160</v>
        <stp/>
        <stp>Market</stp>
        <stp>FOP</stp>
        <stp>131238518</stp>
        <stp>最良売気配値1</stp>
        <tr r="BP57" s="1"/>
      </tp>
      <tp>
        <v>5</v>
        <stp/>
        <stp>Market</stp>
        <stp>FOP</stp>
        <stp>191232518</stp>
        <stp>最良売気配値1</stp>
        <tr r="AV85" s="1"/>
      </tp>
      <tp>
        <v>2255</v>
        <stp/>
        <stp>Market</stp>
        <stp>FOP</stp>
        <stp>191237518</stp>
        <stp>最良売気配値1</stp>
        <tr r="AV55" s="1"/>
      </tp>
      <tp>
        <v>1690</v>
        <stp/>
        <stp>Market</stp>
        <stp>FOP</stp>
        <stp>181237518</stp>
        <stp>最良売気配値1</stp>
        <tr r="BP55" s="1"/>
      </tp>
      <tp>
        <v>76</v>
        <stp/>
        <stp>Market</stp>
        <stp>FOP</stp>
        <stp>191236518</stp>
        <stp>最良売気配値1</stp>
        <tr r="AV73" s="1"/>
      </tp>
      <tp>
        <v>1695</v>
        <stp/>
        <stp>Market</stp>
        <stp>FOP</stp>
        <stp>141238518</stp>
        <stp>最良売気配値1</stp>
        <tr r="AV57" s="1"/>
      </tp>
      <tp>
        <v>119</v>
        <stp/>
        <stp>Market</stp>
        <stp>FOP</stp>
        <stp>191235518</stp>
        <stp>最良売気配値1</stp>
        <tr r="AV71" s="1"/>
      </tp>
      <tp>
        <v>1250</v>
        <stp/>
        <stp>Market</stp>
        <stp>FOP</stp>
        <stp>141239518</stp>
        <stp>最良売気配値1</stp>
        <tr r="AV59" s="1"/>
      </tp>
      <tp>
        <v>184</v>
        <stp/>
        <stp>Market</stp>
        <stp>FOP</stp>
        <stp>191234518</stp>
        <stp>最良売気配値1</stp>
        <tr r="AV69" s="1"/>
      </tp>
      <tp>
        <v>2870</v>
        <stp/>
        <stp>Market</stp>
        <stp>FOP</stp>
        <stp>141236518</stp>
        <stp>最良売気配値1</stp>
        <tr r="AV53" s="1"/>
      </tp>
      <tp>
        <v>3490</v>
        <stp/>
        <stp>Market</stp>
        <stp>FOP</stp>
        <stp>131230518</stp>
        <stp>最良売気配値1</stp>
        <tr r="BP61" s="1"/>
      </tp>
      <tp>
        <v>48</v>
        <stp/>
        <stp>Market</stp>
        <stp>FOP</stp>
        <stp>141237518</stp>
        <stp>最良売気配値1</stp>
        <tr r="AV75" s="1"/>
      </tp>
      <tp>
        <v>19</v>
        <stp/>
        <stp>Market</stp>
        <stp>FOP</stp>
        <stp>191239518</stp>
        <stp>最良売気配値1</stp>
        <tr r="AV79" s="1"/>
      </tp>
      <tp>
        <v>455</v>
        <stp/>
        <stp>Market</stp>
        <stp>FOP</stp>
        <stp>131232518</stp>
        <stp>最良売気配値1</stp>
        <tr r="BP45" s="1"/>
      </tp>
      <tp>
        <v>3705</v>
        <stp/>
        <stp>Market</stp>
        <stp>FOP</stp>
        <stp>141235518</stp>
        <stp>最良売気配値1</stp>
        <tr r="AV51" s="1"/>
      </tp>
      <tp>
        <v>33</v>
        <stp/>
        <stp>Market</stp>
        <stp>FOP</stp>
        <stp>191238518</stp>
        <stp>最良売気配値1</stp>
        <tr r="AV77" s="1"/>
      </tp>
      <tp>
        <v>1005</v>
        <stp/>
        <stp>Market</stp>
        <stp>FOP</stp>
        <stp>131235518</stp>
        <stp>最良売気配値1</stp>
        <tr r="BP51" s="1"/>
      </tp>
      <tp>
        <v>770</v>
        <stp/>
        <stp>Market</stp>
        <stp>FOP</stp>
        <stp>131234518</stp>
        <stp>最良売気配値1</stp>
        <tr r="BP49" s="1"/>
      </tp>
      <tp>
        <v>280</v>
        <stp/>
        <stp>Market</stp>
        <stp>FOP</stp>
        <stp>141233518</stp>
        <stp>最良売気配値1</stp>
        <tr r="AV67" s="1"/>
      </tp>
      <tp>
        <v>890</v>
        <stp/>
        <stp>Market</stp>
        <stp>FOP</stp>
        <stp>141230518</stp>
        <stp>最良売気配値1</stp>
        <tr r="AV61" s="1"/>
      </tp>
      <tp>
        <v>1310</v>
        <stp/>
        <stp>Market</stp>
        <stp>FOP</stp>
        <stp>131236518</stp>
        <stp>最良売気配値1</stp>
        <tr r="BP53" s="1"/>
      </tp>
      <tp>
        <v>620</v>
        <stp/>
        <stp>Market</stp>
        <stp>FOP</stp>
        <stp>141231518</stp>
        <stp>最良売気配値1</stp>
        <tr r="AV63" s="1"/>
      </tp>
      <tp>
        <v>940</v>
        <stp/>
        <stp>Market</stp>
        <stp>FOP</stp>
        <stp>181242518</stp>
        <stp>最良売気配値1</stp>
        <tr r="BP135" s="1"/>
      </tp>
      <tp>
        <v>144</v>
        <stp/>
        <stp>Market</stp>
        <stp>FOP</stp>
        <stp>181240518</stp>
        <stp>最良売気配値1</stp>
        <tr r="BP111" s="1"/>
      </tp>
      <tp>
        <v>164</v>
        <stp/>
        <stp>Market</stp>
        <stp>FOP</stp>
        <stp>181241518</stp>
        <stp>最良売気配値1</stp>
        <tr r="BP113" s="1"/>
      </tp>
      <tp>
        <v>88</v>
        <stp/>
        <stp>Market</stp>
        <stp>FOP</stp>
        <stp>181246518</stp>
        <stp>最良売気配値1</stp>
        <tr r="BP103" s="1"/>
      </tp>
      <tp>
        <v>100</v>
        <stp/>
        <stp>Market</stp>
        <stp>FOP</stp>
        <stp>181247518</stp>
        <stp>最良売気配値1</stp>
        <tr r="BP105" s="1"/>
      </tp>
      <tp>
        <v>113</v>
        <stp/>
        <stp>Market</stp>
        <stp>FOP</stp>
        <stp>181248518</stp>
        <stp>最良売気配値1</stp>
        <tr r="BP107" s="1"/>
      </tp>
      <tp>
        <v>128</v>
        <stp/>
        <stp>Market</stp>
        <stp>FOP</stp>
        <stp>181249518</stp>
        <stp>最良売気配値1</stp>
        <tr r="BP109" s="1"/>
      </tp>
      <tp>
        <v>540</v>
        <stp/>
        <stp>Market</stp>
        <stp>FOP</stp>
        <stp>131369518</stp>
        <stp>最良売気配値1</stp>
        <tr r="BP129" s="1"/>
      </tp>
      <tp>
        <v>187</v>
        <stp/>
        <stp>Market</stp>
        <stp>FOP</stp>
        <stp>181362518</stp>
        <stp>最良売気配値1</stp>
        <tr r="BP115" s="1"/>
      </tp>
      <tp>
        <v>455</v>
        <stp/>
        <stp>Market</stp>
        <stp>FOP</stp>
        <stp>131368518</stp>
        <stp>最良売気配値1</stp>
        <tr r="BP127" s="1"/>
      </tp>
      <tp>
        <v>1140</v>
        <stp/>
        <stp>Market</stp>
        <stp>FOP</stp>
        <stp>181363518</stp>
        <stp>最良売気配値1</stp>
        <tr r="BP137" s="1"/>
      </tp>
      <tp>
        <v>4045</v>
        <stp/>
        <stp>Market</stp>
        <stp>FOP</stp>
        <stp>181360518</stp>
        <stp>最良売気配値1</stp>
        <tr r="BP151" s="1"/>
      </tp>
      <tp>
        <v>1320</v>
        <stp/>
        <stp>Market</stp>
        <stp>FOP</stp>
        <stp>191361518</stp>
        <stp>最良売気配値1</stp>
        <tr r="AV153" s="1"/>
      </tp>
      <tp>
        <v>1655</v>
        <stp/>
        <stp>Market</stp>
        <stp>FOP</stp>
        <stp>191360518</stp>
        <stp>最良売気配値1</stp>
        <tr r="AV151" s="1"/>
      </tp>
      <tp>
        <v>2015</v>
        <stp/>
        <stp>Market</stp>
        <stp>FOP</stp>
        <stp>181366518</stp>
        <stp>最良売気配値1</stp>
        <tr r="BP143" s="1"/>
      </tp>
      <tp>
        <v>267</v>
        <stp/>
        <stp>Market</stp>
        <stp>FOP</stp>
        <stp>191367518</stp>
        <stp>最良売気配値1</stp>
        <tr r="AV165" s="1"/>
      </tp>
      <tp>
        <v>3635</v>
        <stp/>
        <stp>Market</stp>
        <stp>FOP</stp>
        <stp>191366518</stp>
        <stp>最良売気配値1</stp>
        <tr r="AV143" s="1"/>
      </tp>
      <tp>
        <v>1385</v>
        <stp/>
        <stp>Market</stp>
        <stp>FOP</stp>
        <stp>181364518</stp>
        <stp>最良売気配値1</stp>
        <tr r="BP139" s="1"/>
      </tp>
      <tp>
        <v>4290</v>
        <stp/>
        <stp>Market</stp>
        <stp>FOP</stp>
        <stp>191365518</stp>
        <stp>最良売気配値1</stp>
        <tr r="AV141" s="1"/>
      </tp>
      <tp>
        <v>1670</v>
        <stp/>
        <stp>Market</stp>
        <stp>FOP</stp>
        <stp>181365518</stp>
        <stp>最良売気配値1</stp>
        <tr r="BP141" s="1"/>
      </tp>
      <tp>
        <v>780</v>
        <stp/>
        <stp>Market</stp>
        <stp>FOP</stp>
        <stp>131361518</stp>
        <stp>最良売気配値1</stp>
        <tr r="BP133" s="1"/>
      </tp>
      <tp>
        <v>645</v>
        <stp/>
        <stp>Market</stp>
        <stp>FOP</stp>
        <stp>131360518</stp>
        <stp>最良売気配値1</stp>
        <tr r="BP131" s="1"/>
      </tp>
      <tp>
        <v>215</v>
        <stp/>
        <stp>Market</stp>
        <stp>FOP</stp>
        <stp>131363518</stp>
        <stp>最良売気配値1</stp>
        <tr r="BP117" s="1"/>
      </tp>
      <tp>
        <v>2915</v>
        <stp/>
        <stp>Market</stp>
        <stp>FOP</stp>
        <stp>181368518</stp>
        <stp>最良売気配値1</stp>
        <tr r="BP147" s="1"/>
      </tp>
      <tp>
        <v>2050</v>
        <stp/>
        <stp>Market</stp>
        <stp>FOP</stp>
        <stp>191369518</stp>
        <stp>最良売気配値1</stp>
        <tr r="AV149" s="1"/>
      </tp>
      <tp>
        <v>3435</v>
        <stp/>
        <stp>Market</stp>
        <stp>FOP</stp>
        <stp>181369518</stp>
        <stp>最良売気配値1</stp>
        <tr r="BP149" s="1"/>
      </tp>
      <tp>
        <v>2515</v>
        <stp/>
        <stp>Market</stp>
        <stp>FOP</stp>
        <stp>191368518</stp>
        <stp>最良売気配値1</stp>
        <tr r="AV147" s="1"/>
      </tp>
      <tp>
        <v>282</v>
        <stp/>
        <stp>Market</stp>
        <stp>FOP</stp>
        <stp>131365518</stp>
        <stp>最良売気配値1</stp>
        <tr r="BP121" s="1"/>
      </tp>
      <tp>
        <v>245</v>
        <stp/>
        <stp>Market</stp>
        <stp>FOP</stp>
        <stp>131364518</stp>
        <stp>最良売気配値1</stp>
        <tr r="BP119" s="1"/>
      </tp>
      <tp>
        <v>385</v>
        <stp/>
        <stp>Market</stp>
        <stp>FOP</stp>
        <stp>131367518</stp>
        <stp>最良売気配値1</stp>
        <tr r="BP125" s="1"/>
      </tp>
      <tp>
        <v>330</v>
        <stp/>
        <stp>Market</stp>
        <stp>FOP</stp>
        <stp>131366518</stp>
        <stp>最良売気配値1</stp>
        <tr r="BP123" s="1"/>
      </tp>
      <tp>
        <v>1</v>
        <stp/>
        <stp>Market</stp>
        <stp>FOP</stp>
        <stp>141357518</stp>
        <stp>最良売気配値1</stp>
        <tr r="AV95" s="1"/>
      </tp>
      <tp>
        <v>41</v>
        <stp/>
        <stp>Market</stp>
        <stp>FOP</stp>
        <stp>131119518</stp>
        <stp>最良買気配値1</stp>
        <tr r="BR19" s="1"/>
      </tp>
      <tp>
        <v>23</v>
        <stp/>
        <stp>Market</stp>
        <stp>FOP</stp>
        <stp>131118518</stp>
        <stp>最良買気配値1</stp>
        <tr r="BR17" s="1"/>
      </tp>
      <tp>
        <v>575</v>
        <stp/>
        <stp>Market</stp>
        <stp>FOP</stp>
        <stp>181113518</stp>
        <stp>最良買気配値1</stp>
        <tr r="BR47" s="1"/>
      </tp>
      <tp>
        <v>405</v>
        <stp/>
        <stp>Market</stp>
        <stp>FOP</stp>
        <stp>191112518</stp>
        <stp>最良買気配値1</stp>
        <tr r="AX65" s="1"/>
      </tp>
      <tp>
        <v>272</v>
        <stp/>
        <stp>Market</stp>
        <stp>FOP</stp>
        <stp>181110518</stp>
        <stp>最良買気配値1</stp>
        <tr r="BR41" s="1"/>
      </tp>
      <tp>
        <v>290</v>
        <stp/>
        <stp>Market</stp>
        <stp>FOP</stp>
        <stp>181111518</stp>
        <stp>最良買気配値1</stp>
        <tr r="BR43" s="1"/>
      </tp>
      <tp>
        <v>122</v>
        <stp/>
        <stp>Market</stp>
        <stp>FOP</stp>
        <stp>181116518</stp>
        <stp>最良買気配値1</stp>
        <tr r="BR33" s="1"/>
      </tp>
      <tp>
        <v>145</v>
        <stp/>
        <stp>Market</stp>
        <stp>FOP</stp>
        <stp>181117518</stp>
        <stp>最良買気配値1</stp>
        <tr r="BR35" s="1"/>
      </tp>
      <tp>
        <v>102</v>
        <stp/>
        <stp>Market</stp>
        <stp>FOP</stp>
        <stp>181115518</stp>
        <stp>最良買気配値1</stp>
        <tr r="BR31" s="1"/>
      </tp>
      <tp>
        <v>56</v>
        <stp/>
        <stp>Market</stp>
        <stp>FOP</stp>
        <stp>131111518</stp>
        <stp>最良買気配値1</stp>
        <tr r="BR23" s="1"/>
      </tp>
      <tp>
        <v>47</v>
        <stp/>
        <stp>Market</stp>
        <stp>FOP</stp>
        <stp>131110518</stp>
        <stp>最良買気配値1</stp>
        <tr r="BR21" s="1"/>
      </tp>
      <tp>
        <v>74</v>
        <stp/>
        <stp>Market</stp>
        <stp>FOP</stp>
        <stp>131113518</stp>
        <stp>最良買気配値1</stp>
        <tr r="BR27" s="1"/>
      </tp>
      <tp>
        <v>177</v>
        <stp/>
        <stp>Market</stp>
        <stp>FOP</stp>
        <stp>181118518</stp>
        <stp>最良買気配値1</stp>
        <tr r="BR37" s="1"/>
      </tp>
      <tp>
        <v>65</v>
        <stp/>
        <stp>Market</stp>
        <stp>FOP</stp>
        <stp>131112518</stp>
        <stp>最良買気配値1</stp>
        <tr r="BR25" s="1"/>
      </tp>
      <tp>
        <v>218</v>
        <stp/>
        <stp>Market</stp>
        <stp>FOP</stp>
        <stp>181119518</stp>
        <stp>最良買気配値1</stp>
        <tr r="BR39" s="1"/>
      </tp>
      <tp>
        <v>88</v>
        <stp/>
        <stp>Market</stp>
        <stp>FOP</stp>
        <stp>131114518</stp>
        <stp>最良買気配値1</stp>
        <tr r="BR29" s="1"/>
      </tp>
      <tp>
        <v>31</v>
        <stp/>
        <stp>Market</stp>
        <stp>FOP</stp>
        <stp>131117518</stp>
        <stp>最良買気配値1</stp>
        <tr r="BR15" s="1"/>
      </tp>
      <tp>
        <v>16</v>
        <stp/>
        <stp>Market</stp>
        <stp>FOP</stp>
        <stp>131116518</stp>
        <stp>最良買気配値1</stp>
        <tr r="BR13" s="1"/>
      </tp>
      <tp>
        <v>920</v>
        <stp/>
        <stp>Market</stp>
        <stp>FOP</stp>
        <stp>181242518</stp>
        <stp>最良買気配値1</stp>
        <tr r="BR135" s="1"/>
      </tp>
      <tp>
        <v>134</v>
        <stp/>
        <stp>Market</stp>
        <stp>FOP</stp>
        <stp>181240518</stp>
        <stp>最良買気配値1</stp>
        <tr r="BR111" s="1"/>
      </tp>
      <tp>
        <v>153</v>
        <stp/>
        <stp>Market</stp>
        <stp>FOP</stp>
        <stp>181241518</stp>
        <stp>最良買気配値1</stp>
        <tr r="BR113" s="1"/>
      </tp>
      <tp>
        <v>78</v>
        <stp/>
        <stp>Market</stp>
        <stp>FOP</stp>
        <stp>181246518</stp>
        <stp>最良買気配値1</stp>
        <tr r="BR103" s="1"/>
      </tp>
      <tp>
        <v>89</v>
        <stp/>
        <stp>Market</stp>
        <stp>FOP</stp>
        <stp>181247518</stp>
        <stp>最良買気配値1</stp>
        <tr r="BR105" s="1"/>
      </tp>
      <tp>
        <v>102</v>
        <stp/>
        <stp>Market</stp>
        <stp>FOP</stp>
        <stp>181248518</stp>
        <stp>最良買気配値1</stp>
        <tr r="BR107" s="1"/>
      </tp>
      <tp>
        <v>118</v>
        <stp/>
        <stp>Market</stp>
        <stp>FOP</stp>
        <stp>181249518</stp>
        <stp>最良買気配値1</stp>
        <tr r="BR109" s="1"/>
      </tp>
      <tp>
        <v>2630</v>
        <stp/>
        <stp>Market</stp>
        <stp>FOP</stp>
        <stp>131239518</stp>
        <stp>最良買気配値1</stp>
        <tr r="BR59" s="1"/>
      </tp>
      <tp>
        <v>2115</v>
        <stp/>
        <stp>Market</stp>
        <stp>FOP</stp>
        <stp>131238518</stp>
        <stp>最良買気配値1</stp>
        <tr r="BR57" s="1"/>
      </tp>
      <tp>
        <v>4</v>
        <stp/>
        <stp>Market</stp>
        <stp>FOP</stp>
        <stp>191232518</stp>
        <stp>最良買気配値1</stp>
        <tr r="AX85" s="1"/>
      </tp>
      <tp>
        <v>2140</v>
        <stp/>
        <stp>Market</stp>
        <stp>FOP</stp>
        <stp>191237518</stp>
        <stp>最良買気配値1</stp>
        <tr r="AX55" s="1"/>
      </tp>
      <tp>
        <v>1650</v>
        <stp/>
        <stp>Market</stp>
        <stp>FOP</stp>
        <stp>181237518</stp>
        <stp>最良買気配値1</stp>
        <tr r="BR55" s="1"/>
      </tp>
      <tp>
        <v>70</v>
        <stp/>
        <stp>Market</stp>
        <stp>FOP</stp>
        <stp>191236518</stp>
        <stp>最良買気配値1</stp>
        <tr r="AX73" s="1"/>
      </tp>
      <tp>
        <v>1635</v>
        <stp/>
        <stp>Market</stp>
        <stp>FOP</stp>
        <stp>141238518</stp>
        <stp>最良買気配値1</stp>
        <tr r="AX57" s="1"/>
      </tp>
      <tp>
        <v>112</v>
        <stp/>
        <stp>Market</stp>
        <stp>FOP</stp>
        <stp>191235518</stp>
        <stp>最良買気配値1</stp>
        <tr r="AX71" s="1"/>
      </tp>
      <tp>
        <v>1215</v>
        <stp/>
        <stp>Market</stp>
        <stp>FOP</stp>
        <stp>141239518</stp>
        <stp>最良買気配値1</stp>
        <tr r="AX59" s="1"/>
      </tp>
      <tp>
        <v>173</v>
        <stp/>
        <stp>Market</stp>
        <stp>FOP</stp>
        <stp>191234518</stp>
        <stp>最良買気配値1</stp>
        <tr r="AX69" s="1"/>
      </tp>
      <tp>
        <v>2740</v>
        <stp/>
        <stp>Market</stp>
        <stp>FOP</stp>
        <stp>141236518</stp>
        <stp>最良買気配値1</stp>
        <tr r="AX53" s="1"/>
      </tp>
      <tp>
        <v>3230</v>
        <stp/>
        <stp>Market</stp>
        <stp>FOP</stp>
        <stp>131230518</stp>
        <stp>最良買気配値1</stp>
        <tr r="BR61" s="1"/>
      </tp>
      <tp>
        <v>43</v>
        <stp/>
        <stp>Market</stp>
        <stp>FOP</stp>
        <stp>141237518</stp>
        <stp>最良買気配値1</stp>
        <tr r="AX75" s="1"/>
      </tp>
      <tp>
        <v>17</v>
        <stp/>
        <stp>Market</stp>
        <stp>FOP</stp>
        <stp>191239518</stp>
        <stp>最良買気配値1</stp>
        <tr r="AX79" s="1"/>
      </tp>
      <tp>
        <v>440</v>
        <stp/>
        <stp>Market</stp>
        <stp>FOP</stp>
        <stp>131232518</stp>
        <stp>最良買気配値1</stp>
        <tr r="BR45" s="1"/>
      </tp>
      <tp>
        <v>3380</v>
        <stp/>
        <stp>Market</stp>
        <stp>FOP</stp>
        <stp>141235518</stp>
        <stp>最良買気配値1</stp>
        <tr r="AX51" s="1"/>
      </tp>
      <tp>
        <v>26</v>
        <stp/>
        <stp>Market</stp>
        <stp>FOP</stp>
        <stp>191238518</stp>
        <stp>最良買気配値1</stp>
        <tr r="AX77" s="1"/>
      </tp>
      <tp>
        <v>980</v>
        <stp/>
        <stp>Market</stp>
        <stp>FOP</stp>
        <stp>131235518</stp>
        <stp>最良買気配値1</stp>
        <tr r="BR51" s="1"/>
      </tp>
      <tp>
        <v>750</v>
        <stp/>
        <stp>Market</stp>
        <stp>FOP</stp>
        <stp>131234518</stp>
        <stp>最良買気配値1</stp>
        <tr r="BR49" s="1"/>
      </tp>
      <tp>
        <v>268</v>
        <stp/>
        <stp>Market</stp>
        <stp>FOP</stp>
        <stp>141233518</stp>
        <stp>最良買気配値1</stp>
        <tr r="AX67" s="1"/>
      </tp>
      <tp>
        <v>870</v>
        <stp/>
        <stp>Market</stp>
        <stp>FOP</stp>
        <stp>141230518</stp>
        <stp>最良買気配値1</stp>
        <tr r="AX61" s="1"/>
      </tp>
      <tp>
        <v>1280</v>
        <stp/>
        <stp>Market</stp>
        <stp>FOP</stp>
        <stp>131236518</stp>
        <stp>最良買気配値1</stp>
        <tr r="BR53" s="1"/>
      </tp>
      <tp>
        <v>600</v>
        <stp/>
        <stp>Market</stp>
        <stp>FOP</stp>
        <stp>141231518</stp>
        <stp>最良買気配値1</stp>
        <tr r="AX63" s="1"/>
      </tp>
      <tp>
        <v>530</v>
        <stp/>
        <stp>Market</stp>
        <stp>FOP</stp>
        <stp>131369518</stp>
        <stp>最良買気配値1</stp>
        <tr r="BR129" s="1"/>
      </tp>
      <tp>
        <v>176</v>
        <stp/>
        <stp>Market</stp>
        <stp>FOP</stp>
        <stp>181362518</stp>
        <stp>最良買気配値1</stp>
        <tr r="BR115" s="1"/>
      </tp>
      <tp>
        <v>440</v>
        <stp/>
        <stp>Market</stp>
        <stp>FOP</stp>
        <stp>131368518</stp>
        <stp>最良買気配値1</stp>
        <tr r="BR127" s="1"/>
      </tp>
      <tp>
        <v>1110</v>
        <stp/>
        <stp>Market</stp>
        <stp>FOP</stp>
        <stp>181363518</stp>
        <stp>最良買気配値1</stp>
        <tr r="BR137" s="1"/>
      </tp>
      <tp>
        <v>3980</v>
        <stp/>
        <stp>Market</stp>
        <stp>FOP</stp>
        <stp>181360518</stp>
        <stp>最良買気配値1</stp>
        <tr r="BR151" s="1"/>
      </tp>
      <tp>
        <v>1270</v>
        <stp/>
        <stp>Market</stp>
        <stp>FOP</stp>
        <stp>191361518</stp>
        <stp>最良買気配値1</stp>
        <tr r="AX153" s="1"/>
      </tp>
      <tp>
        <v>1605</v>
        <stp/>
        <stp>Market</stp>
        <stp>FOP</stp>
        <stp>191360518</stp>
        <stp>最良買気配値1</stp>
        <tr r="AX151" s="1"/>
      </tp>
      <tp>
        <v>1980</v>
        <stp/>
        <stp>Market</stp>
        <stp>FOP</stp>
        <stp>181366518</stp>
        <stp>最良買気配値1</stp>
        <tr r="BR143" s="1"/>
      </tp>
      <tp>
        <v>252</v>
        <stp/>
        <stp>Market</stp>
        <stp>FOP</stp>
        <stp>191367518</stp>
        <stp>最良買気配値1</stp>
        <tr r="AX165" s="1"/>
      </tp>
      <tp>
        <v>3575</v>
        <stp/>
        <stp>Market</stp>
        <stp>FOP</stp>
        <stp>191366518</stp>
        <stp>最良買気配値1</stp>
        <tr r="AX143" s="1"/>
      </tp>
      <tp>
        <v>1355</v>
        <stp/>
        <stp>Market</stp>
        <stp>FOP</stp>
        <stp>181364518</stp>
        <stp>最良買気配値1</stp>
        <tr r="BR139" s="1"/>
      </tp>
      <tp>
        <v>4230</v>
        <stp/>
        <stp>Market</stp>
        <stp>FOP</stp>
        <stp>191365518</stp>
        <stp>最良買気配値1</stp>
        <tr r="AX141" s="1"/>
      </tp>
      <tp>
        <v>1640</v>
        <stp/>
        <stp>Market</stp>
        <stp>FOP</stp>
        <stp>181365518</stp>
        <stp>最良買気配値1</stp>
        <tr r="BR141" s="1"/>
      </tp>
      <tp>
        <v>760</v>
        <stp/>
        <stp>Market</stp>
        <stp>FOP</stp>
        <stp>131361518</stp>
        <stp>最良買気配値1</stp>
        <tr r="BR133" s="1"/>
      </tp>
      <tp>
        <v>635</v>
        <stp/>
        <stp>Market</stp>
        <stp>FOP</stp>
        <stp>131360518</stp>
        <stp>最良買気配値1</stp>
        <tr r="BR131" s="1"/>
      </tp>
      <tp>
        <v>202</v>
        <stp/>
        <stp>Market</stp>
        <stp>FOP</stp>
        <stp>131363518</stp>
        <stp>最良買気配値1</stp>
        <tr r="BR117" s="1"/>
      </tp>
      <tp>
        <v>2820</v>
        <stp/>
        <stp>Market</stp>
        <stp>FOP</stp>
        <stp>181368518</stp>
        <stp>最良買気配値1</stp>
        <tr r="BR147" s="1"/>
      </tp>
      <tp>
        <v>1975</v>
        <stp/>
        <stp>Market</stp>
        <stp>FOP</stp>
        <stp>191369518</stp>
        <stp>最良買気配値1</stp>
        <tr r="AX149" s="1"/>
      </tp>
      <tp>
        <v>3370</v>
        <stp/>
        <stp>Market</stp>
        <stp>FOP</stp>
        <stp>181369518</stp>
        <stp>最良買気配値1</stp>
        <tr r="BR149" s="1"/>
      </tp>
      <tp>
        <v>2455</v>
        <stp/>
        <stp>Market</stp>
        <stp>FOP</stp>
        <stp>191368518</stp>
        <stp>最良買気配値1</stp>
        <tr r="AX147" s="1"/>
      </tp>
      <tp>
        <v>274</v>
        <stp/>
        <stp>Market</stp>
        <stp>FOP</stp>
        <stp>131365518</stp>
        <stp>最良買気配値1</stp>
        <tr r="BR121" s="1"/>
      </tp>
      <tp>
        <v>237</v>
        <stp/>
        <stp>Market</stp>
        <stp>FOP</stp>
        <stp>131364518</stp>
        <stp>最良買気配値1</stp>
        <tr r="BR119" s="1"/>
      </tp>
      <tp>
        <v>370</v>
        <stp/>
        <stp>Market</stp>
        <stp>FOP</stp>
        <stp>131367518</stp>
        <stp>最良買気配値1</stp>
        <tr r="BR125" s="1"/>
      </tp>
      <tp>
        <v>315</v>
        <stp/>
        <stp>Market</stp>
        <stp>FOP</stp>
        <stp>131366518</stp>
        <stp>最良買気配値1</stp>
        <tr r="BR123" s="1"/>
      </tp>
      <tp>
        <v>0</v>
        <stp/>
        <stp>Market</stp>
        <stp>FOP</stp>
        <stp>141357518</stp>
        <stp>最良買気配値1</stp>
        <tr r="AX95" s="1"/>
      </tp>
      <tp>
        <v>49</v>
        <stp/>
        <stp>Market</stp>
        <stp>FOP</stp>
        <stp>191482518</stp>
        <stp>最良買気配値1</stp>
        <tr r="AX175" s="1"/>
      </tp>
      <tp>
        <v>10</v>
        <stp/>
        <stp>Market</stp>
        <stp>FOP</stp>
        <stp>191487518</stp>
        <stp>最良買気配値1</stp>
        <tr r="AX185" s="1"/>
      </tp>
      <tp>
        <v>2990</v>
        <stp/>
        <stp>Market</stp>
        <stp>FOP</stp>
        <stp>141487518</stp>
        <stp>最良買気配値1</stp>
        <tr r="AX145" s="1"/>
      </tp>
      <tp>
        <v>590</v>
        <stp/>
        <stp>Market</stp>
        <stp>FOP</stp>
        <stp>141484518</stp>
        <stp>最良買気配値1</stp>
        <tr r="AX159" s="1"/>
      </tp>
      <tp>
        <v>450</v>
        <stp/>
        <stp>Market</stp>
        <stp>FOP</stp>
        <stp>141485518</stp>
        <stp>最良買気配値1</stp>
        <tr r="AX161" s="1"/>
      </tp>
      <tp>
        <v>995</v>
        <stp/>
        <stp>Market</stp>
        <stp>FOP</stp>
        <stp>141482518</stp>
        <stp>最良買気配値1</stp>
        <tr r="AX155" s="1"/>
      </tp>
      <tp>
        <v>765</v>
        <stp/>
        <stp>Market</stp>
        <stp>FOP</stp>
        <stp>141483518</stp>
        <stp>最良買気配値1</stp>
        <tr r="AX157" s="1"/>
      </tp>
      <tp>
        <v>2355</v>
        <stp/>
        <stp>Market</stp>
        <stp>FOP</stp>
        <stp>131487518</stp>
        <stp>最良買気配値1</stp>
        <tr r="BR145" s="1"/>
      </tp>
      <tp>
        <v>1272</v>
        <stp/>
        <stp>Market</stp>
        <stp>FOP</stp>
        <stp>161110019</stp>
        <stp>出来高</stp>
        <tr r="BA10" s="1"/>
      </tp>
      <tp>
        <v>0</v>
        <stp/>
        <stp>Market</stp>
        <stp>FOP</stp>
        <stp>181116018</stp>
        <stp>出来高</stp>
        <tr r="BU12" s="1"/>
      </tp>
      <tp>
        <v>0</v>
        <stp/>
        <stp>Market</stp>
        <stp>FOP</stp>
        <stp>181117018</stp>
        <stp>出来高</stp>
        <tr r="BU14" s="1"/>
      </tp>
      <tp>
        <v>6</v>
        <stp/>
        <stp>Market</stp>
        <stp>FOP</stp>
        <stp>181114018</stp>
        <stp>出来高</stp>
        <tr r="BU28" s="1"/>
      </tp>
      <tp>
        <v>12</v>
        <stp/>
        <stp>Market</stp>
        <stp>FOP</stp>
        <stp>181115018</stp>
        <stp>出来高</stp>
        <tr r="BU30" s="1"/>
      </tp>
      <tp>
        <v>16</v>
        <stp/>
        <stp>Market</stp>
        <stp>FOP</stp>
        <stp>181112018</stp>
        <stp>出来高</stp>
        <tr r="BU24" s="1"/>
      </tp>
      <tp>
        <v>2</v>
        <stp/>
        <stp>Market</stp>
        <stp>FOP</stp>
        <stp>181113018</stp>
        <stp>出来高</stp>
        <tr r="BU26" s="1"/>
      </tp>
      <tp>
        <v>26</v>
        <stp/>
        <stp>Market</stp>
        <stp>FOP</stp>
        <stp>181110018</stp>
        <stp>出来高</stp>
        <tr r="BU20" s="1"/>
      </tp>
      <tp>
        <v>3</v>
        <stp/>
        <stp>Market</stp>
        <stp>FOP</stp>
        <stp>181111018</stp>
        <stp>出来高</stp>
        <tr r="BU22" s="1"/>
      </tp>
      <tp>
        <v>6</v>
        <stp/>
        <stp>Market</stp>
        <stp>FOP</stp>
        <stp>181118018</stp>
        <stp>出来高</stp>
        <tr r="BU16" s="1"/>
      </tp>
      <tp>
        <v>5</v>
        <stp/>
        <stp>Market</stp>
        <stp>FOP</stp>
        <stp>181119018</stp>
        <stp>出来高</stp>
        <tr r="BU18" s="1"/>
      </tp>
      <tp>
        <v>45863</v>
        <stp/>
        <stp>Market</stp>
        <stp>FOP</stp>
        <stp>161120019</stp>
        <stp>出来高</stp>
        <tr r="BA11" s="1"/>
      </tp>
      <tp>
        <v>0</v>
        <stp/>
        <stp>Market</stp>
        <stp>FOP</stp>
        <stp>181246018</stp>
        <stp>出来高</stp>
        <tr r="BU102" s="1"/>
      </tp>
      <tp>
        <v>1</v>
        <stp/>
        <stp>Market</stp>
        <stp>FOP</stp>
        <stp>181247018</stp>
        <stp>出来高</stp>
        <tr r="BU104" s="1"/>
      </tp>
      <tp>
        <v>0</v>
        <stp/>
        <stp>Market</stp>
        <stp>FOP</stp>
        <stp>181242018</stp>
        <stp>出来高</stp>
        <tr r="BU114" s="1"/>
      </tp>
      <tp>
        <v>2</v>
        <stp/>
        <stp>Market</stp>
        <stp>FOP</stp>
        <stp>181240018</stp>
        <stp>出来高</stp>
        <tr r="BU110" s="1"/>
      </tp>
      <tp>
        <v>0</v>
        <stp/>
        <stp>Market</stp>
        <stp>FOP</stp>
        <stp>181241018</stp>
        <stp>出来高</stp>
        <tr r="BU112" s="1"/>
      </tp>
      <tp>
        <v>1</v>
        <stp/>
        <stp>Market</stp>
        <stp>FOP</stp>
        <stp>181248018</stp>
        <stp>出来高</stp>
        <tr r="BU106" s="1"/>
      </tp>
      <tp>
        <v>0</v>
        <stp/>
        <stp>Market</stp>
        <stp>FOP</stp>
        <stp>181249018</stp>
        <stp>出来高</stp>
        <tr r="BU108" s="1"/>
      </tp>
      <tp>
        <v>4</v>
        <stp/>
        <stp>Market</stp>
        <stp>FOP</stp>
        <stp>181236018</stp>
        <stp>出来高</stp>
        <tr r="BU52" s="1"/>
      </tp>
      <tp>
        <v>0</v>
        <stp/>
        <stp>Market</stp>
        <stp>FOP</stp>
        <stp>191236018</stp>
        <stp>出来高</stp>
        <tr r="BA52" s="1"/>
      </tp>
      <tp>
        <v>12</v>
        <stp/>
        <stp>Market</stp>
        <stp>FOP</stp>
        <stp>131239018</stp>
        <stp>出来高</stp>
        <tr r="BU38" s="1"/>
      </tp>
      <tp>
        <v>45</v>
        <stp/>
        <stp>Market</stp>
        <stp>FOP</stp>
        <stp>131238018</stp>
        <stp>出来高</stp>
        <tr r="BU36" s="1"/>
      </tp>
      <tp>
        <v>12</v>
        <stp/>
        <stp>Market</stp>
        <stp>FOP</stp>
        <stp>131235018</stp>
        <stp>出来高</stp>
        <tr r="BU50" s="1"/>
      </tp>
      <tp>
        <v>6</v>
        <stp/>
        <stp>Market</stp>
        <stp>FOP</stp>
        <stp>131234018</stp>
        <stp>出来高</stp>
        <tr r="BU48" s="1"/>
      </tp>
      <tp>
        <v>4</v>
        <stp/>
        <stp>Market</stp>
        <stp>FOP</stp>
        <stp>131237018</stp>
        <stp>出来高</stp>
        <tr r="BU34" s="1"/>
      </tp>
      <tp>
        <v>22</v>
        <stp/>
        <stp>Market</stp>
        <stp>FOP</stp>
        <stp>131236018</stp>
        <stp>出来高</stp>
        <tr r="BU32" s="1"/>
      </tp>
      <tp>
        <v>39</v>
        <stp/>
        <stp>Market</stp>
        <stp>FOP</stp>
        <stp>131231018</stp>
        <stp>出来高</stp>
        <tr r="BU42" s="1"/>
      </tp>
      <tp>
        <v>8</v>
        <stp/>
        <stp>Market</stp>
        <stp>FOP</stp>
        <stp>131230018</stp>
        <stp>出来高</stp>
        <tr r="BU40" s="1"/>
      </tp>
      <tp>
        <v>6</v>
        <stp/>
        <stp>Market</stp>
        <stp>FOP</stp>
        <stp>131233018</stp>
        <stp>出来高</stp>
        <tr r="BU46" s="1"/>
      </tp>
      <tp>
        <v>3</v>
        <stp/>
        <stp>Market</stp>
        <stp>FOP</stp>
        <stp>131232018</stp>
        <stp>出来高</stp>
        <tr r="BU44" s="1"/>
      </tp>
      <tp>
        <v>0</v>
        <stp/>
        <stp>Market</stp>
        <stp>FOP</stp>
        <stp>141235018</stp>
        <stp>出来高</stp>
        <tr r="BA50" s="1"/>
      </tp>
      <tp>
        <v>12</v>
        <stp/>
        <stp>Market</stp>
        <stp>FOP</stp>
        <stp>191357018</stp>
        <stp>出来高</stp>
        <tr r="BA74" s="1"/>
      </tp>
      <tp>
        <v>9</v>
        <stp/>
        <stp>Market</stp>
        <stp>FOP</stp>
        <stp>191356018</stp>
        <stp>出来高</stp>
        <tr r="BA72" s="1"/>
      </tp>
      <tp>
        <v>10</v>
        <stp/>
        <stp>Market</stp>
        <stp>FOP</stp>
        <stp>141358018</stp>
        <stp>出来高</stp>
        <tr r="BA56" s="1"/>
      </tp>
      <tp>
        <v>30</v>
        <stp/>
        <stp>Market</stp>
        <stp>FOP</stp>
        <stp>191355018</stp>
        <stp>出来高</stp>
        <tr r="BA70" s="1"/>
      </tp>
      <tp>
        <v>1</v>
        <stp/>
        <stp>Market</stp>
        <stp>FOP</stp>
        <stp>141359018</stp>
        <stp>出来高</stp>
        <tr r="BA58" s="1"/>
      </tp>
      <tp>
        <v>1</v>
        <stp/>
        <stp>Market</stp>
        <stp>FOP</stp>
        <stp>131359018</stp>
        <stp>出来高</stp>
        <tr r="BU58" s="1"/>
      </tp>
      <tp>
        <v>19</v>
        <stp/>
        <stp>Market</stp>
        <stp>FOP</stp>
        <stp>131358018</stp>
        <stp>出来高</stp>
        <tr r="BU56" s="1"/>
      </tp>
      <tp>
        <v>52</v>
        <stp/>
        <stp>Market</stp>
        <stp>FOP</stp>
        <stp>191350018</stp>
        <stp>出来高</stp>
        <tr r="BA80" s="1"/>
      </tp>
      <tp>
        <v>4</v>
        <stp/>
        <stp>Market</stp>
        <stp>FOP</stp>
        <stp>141352018</stp>
        <stp>出来高</stp>
        <tr r="BA64" s="1"/>
      </tp>
      <tp>
        <v>9</v>
        <stp/>
        <stp>Market</stp>
        <stp>FOP</stp>
        <stp>141353018</stp>
        <stp>出来高</stp>
        <tr r="BA66" s="1"/>
      </tp>
      <tp>
        <v>32</v>
        <stp/>
        <stp>Market</stp>
        <stp>FOP</stp>
        <stp>131357018</stp>
        <stp>出来高</stp>
        <tr r="BU54" s="1"/>
      </tp>
      <tp>
        <v>13</v>
        <stp/>
        <stp>Market</stp>
        <stp>FOP</stp>
        <stp>141350018</stp>
        <stp>出来高</stp>
        <tr r="BA60" s="1"/>
      </tp>
      <tp>
        <v>3</v>
        <stp/>
        <stp>Market</stp>
        <stp>FOP</stp>
        <stp>141351018</stp>
        <stp>出来高</stp>
        <tr r="BA62" s="1"/>
      </tp>
      <tp>
        <v>0</v>
        <stp/>
        <stp>Market</stp>
        <stp>FOP</stp>
        <stp>131351018</stp>
        <stp>出来高</stp>
        <tr r="BU62" s="1"/>
      </tp>
      <tp>
        <v>0</v>
        <stp/>
        <stp>Market</stp>
        <stp>FOP</stp>
        <stp>131350018</stp>
        <stp>出来高</stp>
        <tr r="BU60" s="1"/>
      </tp>
      <tp>
        <v>0</v>
        <stp/>
        <stp>Market</stp>
        <stp>FOP</stp>
        <stp>141357018</stp>
        <stp>出来高</stp>
        <tr r="BA54" s="1"/>
      </tp>
      <tp>
        <v>10</v>
        <stp/>
        <stp>Market</stp>
        <stp>FOP</stp>
        <stp>141354018</stp>
        <stp>出来高</stp>
        <tr r="BA68" s="1"/>
      </tp>
      <tp>
        <v>17</v>
        <stp/>
        <stp>Market</stp>
        <stp>FOP</stp>
        <stp>191359018</stp>
        <stp>出来高</stp>
        <tr r="BA78" s="1"/>
      </tp>
      <tp>
        <v>18</v>
        <stp/>
        <stp>Market</stp>
        <stp>FOP</stp>
        <stp>191358018</stp>
        <stp>出来高</stp>
        <tr r="BA76" s="1"/>
      </tp>
      <tp>
        <v>0</v>
        <stp/>
        <stp>Market</stp>
        <stp>FOP</stp>
        <stp>181366018</stp>
        <stp>出来高</stp>
        <tr r="BU142" s="1"/>
      </tp>
      <tp>
        <v>0</v>
        <stp/>
        <stp>Market</stp>
        <stp>FOP</stp>
        <stp>191367018</stp>
        <stp>出来高</stp>
        <tr r="BA144" s="1"/>
      </tp>
      <tp>
        <v>0</v>
        <stp/>
        <stp>Market</stp>
        <stp>FOP</stp>
        <stp>181367018</stp>
        <stp>出来高</stp>
        <tr r="BU144" s="1"/>
      </tp>
      <tp>
        <v>0</v>
        <stp/>
        <stp>Market</stp>
        <stp>FOP</stp>
        <stp>191366018</stp>
        <stp>出来高</stp>
        <tr r="BA142" s="1"/>
      </tp>
      <tp>
        <v>0</v>
        <stp/>
        <stp>Market</stp>
        <stp>FOP</stp>
        <stp>181364018</stp>
        <stp>出来高</stp>
        <tr r="BU138" s="1"/>
      </tp>
      <tp>
        <v>0</v>
        <stp/>
        <stp>Market</stp>
        <stp>FOP</stp>
        <stp>191365018</stp>
        <stp>出来高</stp>
        <tr r="BA140" s="1"/>
      </tp>
      <tp>
        <v>0</v>
        <stp/>
        <stp>Market</stp>
        <stp>FOP</stp>
        <stp>181365018</stp>
        <stp>出来高</stp>
        <tr r="BU140" s="1"/>
      </tp>
      <tp>
        <v>1</v>
        <stp/>
        <stp>Market</stp>
        <stp>FOP</stp>
        <stp>131369018</stp>
        <stp>出来高</stp>
        <tr r="BU128" s="1"/>
      </tp>
      <tp>
        <v>0</v>
        <stp/>
        <stp>Market</stp>
        <stp>FOP</stp>
        <stp>131368018</stp>
        <stp>出来高</stp>
        <tr r="BU126" s="1"/>
      </tp>
      <tp>
        <v>0</v>
        <stp/>
        <stp>Market</stp>
        <stp>FOP</stp>
        <stp>181363018</stp>
        <stp>出来高</stp>
        <tr r="BU136" s="1"/>
      </tp>
      <tp>
        <v>0</v>
        <stp/>
        <stp>Market</stp>
        <stp>FOP</stp>
        <stp>191362018</stp>
        <stp>出来高</stp>
        <tr r="BA154" s="1"/>
      </tp>
      <tp>
        <v>0</v>
        <stp/>
        <stp>Market</stp>
        <stp>FOP</stp>
        <stp>181360018</stp>
        <stp>出来高</stp>
        <tr r="BU150" s="1"/>
      </tp>
      <tp>
        <v>0</v>
        <stp/>
        <stp>Market</stp>
        <stp>FOP</stp>
        <stp>191361018</stp>
        <stp>出来高</stp>
        <tr r="BA152" s="1"/>
      </tp>
      <tp>
        <v>0</v>
        <stp/>
        <stp>Market</stp>
        <stp>FOP</stp>
        <stp>181361018</stp>
        <stp>出来高</stp>
        <tr r="BU152" s="1"/>
      </tp>
      <tp>
        <v>0</v>
        <stp/>
        <stp>Market</stp>
        <stp>FOP</stp>
        <stp>191360018</stp>
        <stp>出来高</stp>
        <tr r="BA150" s="1"/>
      </tp>
      <tp>
        <v>0</v>
        <stp/>
        <stp>Market</stp>
        <stp>FOP</stp>
        <stp>131365018</stp>
        <stp>出来高</stp>
        <tr r="BU120" s="1"/>
      </tp>
      <tp>
        <v>0</v>
        <stp/>
        <stp>Market</stp>
        <stp>FOP</stp>
        <stp>131364018</stp>
        <stp>出来高</stp>
        <tr r="BU118" s="1"/>
      </tp>
      <tp>
        <v>0</v>
        <stp/>
        <stp>Market</stp>
        <stp>FOP</stp>
        <stp>131367018</stp>
        <stp>出来高</stp>
        <tr r="BU124" s="1"/>
      </tp>
      <tp>
        <v>0</v>
        <stp/>
        <stp>Market</stp>
        <stp>FOP</stp>
        <stp>131366018</stp>
        <stp>出来高</stp>
        <tr r="BU122" s="1"/>
      </tp>
      <tp>
        <v>0</v>
        <stp/>
        <stp>Market</stp>
        <stp>FOP</stp>
        <stp>131361018</stp>
        <stp>出来高</stp>
        <tr r="BU132" s="1"/>
      </tp>
      <tp>
        <v>0</v>
        <stp/>
        <stp>Market</stp>
        <stp>FOP</stp>
        <stp>131360018</stp>
        <stp>出来高</stp>
        <tr r="BU130" s="1"/>
      </tp>
      <tp>
        <v>0</v>
        <stp/>
        <stp>Market</stp>
        <stp>FOP</stp>
        <stp>131363018</stp>
        <stp>出来高</stp>
        <tr r="BU116" s="1"/>
      </tp>
      <tp>
        <v>0</v>
        <stp/>
        <stp>Market</stp>
        <stp>FOP</stp>
        <stp>181368018</stp>
        <stp>出来高</stp>
        <tr r="BU146" s="1"/>
      </tp>
      <tp>
        <v>0</v>
        <stp/>
        <stp>Market</stp>
        <stp>FOP</stp>
        <stp>191369018</stp>
        <stp>出来高</stp>
        <tr r="BA148" s="1"/>
      </tp>
      <tp>
        <v>0</v>
        <stp/>
        <stp>Market</stp>
        <stp>FOP</stp>
        <stp>131362018</stp>
        <stp>出来高</stp>
        <tr r="BU134" s="1"/>
      </tp>
      <tp>
        <v>0</v>
        <stp/>
        <stp>Market</stp>
        <stp>FOP</stp>
        <stp>181369018</stp>
        <stp>出来高</stp>
        <tr r="BU148" s="1"/>
      </tp>
      <tp>
        <v>0</v>
        <stp/>
        <stp>Market</stp>
        <stp>FOP</stp>
        <stp>191368018</stp>
        <stp>出来高</stp>
        <tr r="BA146" s="1"/>
      </tp>
      <tp>
        <v>0</v>
        <stp/>
        <stp>Market</stp>
        <stp>FOP</stp>
        <stp>141488018</stp>
        <stp>出来高</stp>
        <tr r="BA166" s="1"/>
      </tp>
      <tp>
        <v>1</v>
        <stp/>
        <stp>Market</stp>
        <stp>FOP</stp>
        <stp>191485018</stp>
        <stp>出来高</stp>
        <tr r="BA180" s="1"/>
      </tp>
      <tp>
        <v>0</v>
        <stp/>
        <stp>Market</stp>
        <stp>FOP</stp>
        <stp>141489018</stp>
        <stp>出来高</stp>
        <tr r="BA168" s="1"/>
      </tp>
      <tp>
        <v>0</v>
        <stp/>
        <stp>Market</stp>
        <stp>FOP</stp>
        <stp>191484018</stp>
        <stp>出来高</stp>
        <tr r="BA178" s="1"/>
      </tp>
      <tp>
        <v>1</v>
        <stp/>
        <stp>Market</stp>
        <stp>FOP</stp>
        <stp>191483018</stp>
        <stp>出来高</stp>
        <tr r="BA176" s="1"/>
      </tp>
      <tp>
        <v>3</v>
        <stp/>
        <stp>Market</stp>
        <stp>FOP</stp>
        <stp>191480018</stp>
        <stp>出来高</stp>
        <tr r="BA190" s="1"/>
      </tp>
      <tp>
        <v>0</v>
        <stp/>
        <stp>Market</stp>
        <stp>FOP</stp>
        <stp>141482018</stp>
        <stp>出来高</stp>
        <tr r="BA174" s="1"/>
      </tp>
      <tp>
        <v>0</v>
        <stp/>
        <stp>Market</stp>
        <stp>FOP</stp>
        <stp>141483018</stp>
        <stp>出来高</stp>
        <tr r="BA156" s="1"/>
      </tp>
      <tp>
        <v>5</v>
        <stp/>
        <stp>Market</stp>
        <stp>FOP</stp>
        <stp>141480018</stp>
        <stp>出来高</stp>
        <tr r="BA170" s="1"/>
      </tp>
      <tp>
        <v>0</v>
        <stp/>
        <stp>Market</stp>
        <stp>FOP</stp>
        <stp>141481018</stp>
        <stp>出来高</stp>
        <tr r="BA172" s="1"/>
      </tp>
      <tp>
        <v>0</v>
        <stp/>
        <stp>Market</stp>
        <stp>FOP</stp>
        <stp>141486018</stp>
        <stp>出来高</stp>
        <tr r="BA162" s="1"/>
      </tp>
      <tp>
        <v>1</v>
        <stp/>
        <stp>Market</stp>
        <stp>FOP</stp>
        <stp>141487018</stp>
        <stp>出来高</stp>
        <tr r="BA164" s="1"/>
      </tp>
      <tp>
        <v>0</v>
        <stp/>
        <stp>Market</stp>
        <stp>FOP</stp>
        <stp>141484018</stp>
        <stp>出来高</stp>
        <tr r="BA158" s="1"/>
      </tp>
      <tp>
        <v>0</v>
        <stp/>
        <stp>Market</stp>
        <stp>FOP</stp>
        <stp>141485018</stp>
        <stp>出来高</stp>
        <tr r="BA160" s="1"/>
      </tp>
      <tp>
        <v>0</v>
        <stp/>
        <stp>Market</stp>
        <stp>FOP</stp>
        <stp>141470018</stp>
        <stp>出来高</stp>
        <tr r="BA100" s="1"/>
      </tp>
      <tp>
        <v>4</v>
        <stp/>
        <stp>Market</stp>
        <stp>FOP</stp>
        <stp>141475018</stp>
        <stp>出来高</stp>
        <tr r="BA90" s="1"/>
      </tp>
      <tp>
        <v>51</v>
        <stp/>
        <stp>Market</stp>
        <stp>FOP</stp>
        <stp>191483018</stp>
        <stp>最良売気配値1</stp>
        <tr r="AV176" s="1"/>
      </tp>
      <tp>
        <v>5</v>
        <stp/>
        <stp>Market</stp>
        <stp>FOP</stp>
        <stp>191480018</stp>
        <stp>最良売気配値1</stp>
        <tr r="AV190" s="1"/>
      </tp>
      <tp>
        <v>230</v>
        <stp/>
        <stp>Market</stp>
        <stp>FOP</stp>
        <stp>141488018</stp>
        <stp>最良売気配値1</stp>
        <tr r="AV166" s="1"/>
      </tp>
      <tp>
        <v>31</v>
        <stp/>
        <stp>Market</stp>
        <stp>FOP</stp>
        <stp>191485018</stp>
        <stp>最良売気配値1</stp>
        <tr r="AV180" s="1"/>
      </tp>
      <tp>
        <v>171</v>
        <stp/>
        <stp>Market</stp>
        <stp>FOP</stp>
        <stp>141489018</stp>
        <stp>最良売気配値1</stp>
        <tr r="AV168" s="1"/>
      </tp>
      <tp>
        <v>43</v>
        <stp/>
        <stp>Market</stp>
        <stp>FOP</stp>
        <stp>191484018</stp>
        <stp>最良売気配値1</stp>
        <tr r="AV178" s="1"/>
      </tp>
      <tp>
        <v>400</v>
        <stp/>
        <stp>Market</stp>
        <stp>FOP</stp>
        <stp>141486018</stp>
        <stp>最良売気配値1</stp>
        <tr r="AV162" s="1"/>
      </tp>
      <tp>
        <v>305</v>
        <stp/>
        <stp>Market</stp>
        <stp>FOP</stp>
        <stp>141487018</stp>
        <stp>最良売気配値1</stp>
        <tr r="AV164" s="1"/>
      </tp>
      <tp>
        <v>690</v>
        <stp/>
        <stp>Market</stp>
        <stp>FOP</stp>
        <stp>141484018</stp>
        <stp>最良売気配値1</stp>
        <tr r="AV158" s="1"/>
      </tp>
      <tp>
        <v>530</v>
        <stp/>
        <stp>Market</stp>
        <stp>FOP</stp>
        <stp>141485018</stp>
        <stp>最良売気配値1</stp>
        <tr r="AV160" s="1"/>
      </tp>
      <tp>
        <v>70</v>
        <stp/>
        <stp>Market</stp>
        <stp>FOP</stp>
        <stp>141482018</stp>
        <stp>最良売気配値1</stp>
        <tr r="AV174" s="1"/>
      </tp>
      <tp>
        <v>900</v>
        <stp/>
        <stp>Market</stp>
        <stp>FOP</stp>
        <stp>141483018</stp>
        <stp>最良売気配値1</stp>
        <tr r="AV156" s="1"/>
      </tp>
      <tp>
        <v>125</v>
        <stp/>
        <stp>Market</stp>
        <stp>FOP</stp>
        <stp>141480018</stp>
        <stp>最良売気配値1</stp>
        <tr r="AV170" s="1"/>
      </tp>
      <tp>
        <v>92</v>
        <stp/>
        <stp>Market</stp>
        <stp>FOP</stp>
        <stp>141481018</stp>
        <stp>最良売気配値1</stp>
        <tr r="AV172" s="1"/>
      </tp>
      <tp>
        <v>3</v>
        <stp/>
        <stp>Market</stp>
        <stp>FOP</stp>
        <stp>141475018</stp>
        <stp>最良売気配値1</stp>
        <tr r="AV90" s="1"/>
      </tp>
      <tp>
        <v>1</v>
        <stp/>
        <stp>Market</stp>
        <stp>FOP</stp>
        <stp>141470018</stp>
        <stp>最良売気配値1</stp>
        <tr r="AV100" s="1"/>
      </tp>
      <tp>
        <v>68090</v>
        <stp/>
        <stp>Market</stp>
        <stp>FOP</stp>
        <stp>161120019</stp>
        <stp>最良売気配値1</stp>
        <tr r="AV11" s="1"/>
      </tp>
      <tp>
        <v>63</v>
        <stp/>
        <stp>Market</stp>
        <stp>FOP</stp>
        <stp>181112018</stp>
        <stp>最良売気配値1</stp>
        <tr r="BP24" s="1"/>
      </tp>
      <tp>
        <v>74</v>
        <stp/>
        <stp>Market</stp>
        <stp>FOP</stp>
        <stp>181113018</stp>
        <stp>最良売気配値1</stp>
        <tr r="BP26" s="1"/>
      </tp>
      <tp>
        <v>49</v>
        <stp/>
        <stp>Market</stp>
        <stp>FOP</stp>
        <stp>181110018</stp>
        <stp>最良売気配値1</stp>
        <tr r="BP20" s="1"/>
      </tp>
      <tp>
        <v>55</v>
        <stp/>
        <stp>Market</stp>
        <stp>FOP</stp>
        <stp>181111018</stp>
        <stp>最良売気配値1</stp>
        <tr r="BP22" s="1"/>
      </tp>
      <tp>
        <v>30</v>
        <stp/>
        <stp>Market</stp>
        <stp>FOP</stp>
        <stp>181116018</stp>
        <stp>最良売気配値1</stp>
        <tr r="BP12" s="1"/>
      </tp>
      <tp>
        <v>32</v>
        <stp/>
        <stp>Market</stp>
        <stp>FOP</stp>
        <stp>181117018</stp>
        <stp>最良売気配値1</stp>
        <tr r="BP14" s="1"/>
      </tp>
      <tp>
        <v>85</v>
        <stp/>
        <stp>Market</stp>
        <stp>FOP</stp>
        <stp>181114018</stp>
        <stp>最良売気配値1</stp>
        <tr r="BP28" s="1"/>
      </tp>
      <tp>
        <v>99</v>
        <stp/>
        <stp>Market</stp>
        <stp>FOP</stp>
        <stp>181115018</stp>
        <stp>最良売気配値1</stp>
        <tr r="BP30" s="1"/>
      </tp>
      <tp>
        <v>39</v>
        <stp/>
        <stp>Market</stp>
        <stp>FOP</stp>
        <stp>181118018</stp>
        <stp>最良売気配値1</stp>
        <tr r="BP16" s="1"/>
      </tp>
      <tp>
        <v>44</v>
        <stp/>
        <stp>Market</stp>
        <stp>FOP</stp>
        <stp>181119018</stp>
        <stp>最良売気配値1</stp>
        <tr r="BP18" s="1"/>
      </tp>
      <tp>
        <v>68015</v>
        <stp/>
        <stp>Market</stp>
        <stp>FOP</stp>
        <stp>161110019</stp>
        <stp>最良売気配値1</stp>
        <tr r="AV10" s="1"/>
      </tp>
      <tp>
        <v>200</v>
        <stp/>
        <stp>Market</stp>
        <stp>FOP</stp>
        <stp>131239018</stp>
        <stp>最良売気配値1</stp>
        <tr r="BP38" s="1"/>
      </tp>
      <tp>
        <v>166</v>
        <stp/>
        <stp>Market</stp>
        <stp>FOP</stp>
        <stp>131238018</stp>
        <stp>最良売気配値1</stp>
        <tr r="BP36" s="1"/>
      </tp>
      <tp>
        <v>1145</v>
        <stp/>
        <stp>Market</stp>
        <stp>FOP</stp>
        <stp>181236018</stp>
        <stp>最良売気配値1</stp>
        <tr r="BP52" s="1"/>
      </tp>
      <tp>
        <v>3300</v>
        <stp/>
        <stp>Market</stp>
        <stp>FOP</stp>
        <stp>191236018</stp>
        <stp>最良売気配値1</stp>
        <tr r="AV52" s="1"/>
      </tp>
      <tp>
        <v>335</v>
        <stp/>
        <stp>Market</stp>
        <stp>FOP</stp>
        <stp>131231018</stp>
        <stp>最良売気配値1</stp>
        <tr r="BP42" s="1"/>
      </tp>
      <tp>
        <v>253</v>
        <stp/>
        <stp>Market</stp>
        <stp>FOP</stp>
        <stp>131230018</stp>
        <stp>最良売気配値1</stp>
        <tr r="BP40" s="1"/>
      </tp>
      <tp>
        <v>515</v>
        <stp/>
        <stp>Market</stp>
        <stp>FOP</stp>
        <stp>131233018</stp>
        <stp>最良売気配値1</stp>
        <tr r="BP46" s="1"/>
      </tp>
      <tp>
        <v>400</v>
        <stp/>
        <stp>Market</stp>
        <stp>FOP</stp>
        <stp>131232018</stp>
        <stp>最良売気配値1</stp>
        <tr r="BP44" s="1"/>
      </tp>
      <tp>
        <v>4095</v>
        <stp/>
        <stp>Market</stp>
        <stp>FOP</stp>
        <stp>141235018</stp>
        <stp>最良売気配値1</stp>
        <tr r="AV50" s="1"/>
      </tp>
      <tp>
        <v>880</v>
        <stp/>
        <stp>Market</stp>
        <stp>FOP</stp>
        <stp>131235018</stp>
        <stp>最良売気配値1</stp>
        <tr r="BP50" s="1"/>
      </tp>
      <tp>
        <v>670</v>
        <stp/>
        <stp>Market</stp>
        <stp>FOP</stp>
        <stp>131234018</stp>
        <stp>最良売気配値1</stp>
        <tr r="BP48" s="1"/>
      </tp>
      <tp>
        <v>138</v>
        <stp/>
        <stp>Market</stp>
        <stp>FOP</stp>
        <stp>131237018</stp>
        <stp>最良売気配値1</stp>
        <tr r="BP34" s="1"/>
      </tp>
      <tp>
        <v>118</v>
        <stp/>
        <stp>Market</stp>
        <stp>FOP</stp>
        <stp>131236018</stp>
        <stp>最良売気配値1</stp>
        <tr r="BP32" s="1"/>
      </tp>
      <tp>
        <v>175</v>
        <stp/>
        <stp>Market</stp>
        <stp>FOP</stp>
        <stp>181242018</stp>
        <stp>最良売気配値1</stp>
        <tr r="BP114" s="1"/>
      </tp>
      <tp>
        <v>136</v>
        <stp/>
        <stp>Market</stp>
        <stp>FOP</stp>
        <stp>181240018</stp>
        <stp>最良売気配値1</stp>
        <tr r="BP110" s="1"/>
      </tp>
      <tp>
        <v>154</v>
        <stp/>
        <stp>Market</stp>
        <stp>FOP</stp>
        <stp>181241018</stp>
        <stp>最良売気配値1</stp>
        <tr r="BP112" s="1"/>
      </tp>
      <tp>
        <v>83</v>
        <stp/>
        <stp>Market</stp>
        <stp>FOP</stp>
        <stp>181246018</stp>
        <stp>最良売気配値1</stp>
        <tr r="BP102" s="1"/>
      </tp>
      <tp>
        <v>94</v>
        <stp/>
        <stp>Market</stp>
        <stp>FOP</stp>
        <stp>181247018</stp>
        <stp>最良売気配値1</stp>
        <tr r="BP104" s="1"/>
      </tp>
      <tp>
        <v>106</v>
        <stp/>
        <stp>Market</stp>
        <stp>FOP</stp>
        <stp>181248018</stp>
        <stp>最良売気配値1</stp>
        <tr r="BP106" s="1"/>
      </tp>
      <tp>
        <v>120</v>
        <stp/>
        <stp>Market</stp>
        <stp>FOP</stp>
        <stp>181249018</stp>
        <stp>最良売気配値1</stp>
        <tr r="BP108" s="1"/>
      </tp>
      <tp>
        <v>495</v>
        <stp/>
        <stp>Market</stp>
        <stp>FOP</stp>
        <stp>131369018</stp>
        <stp>最良売気配値1</stp>
        <tr r="BP128" s="1"/>
      </tp>
      <tp>
        <v>415</v>
        <stp/>
        <stp>Market</stp>
        <stp>FOP</stp>
        <stp>131368018</stp>
        <stp>最良売気配値1</stp>
        <tr r="BP126" s="1"/>
      </tp>
      <tp>
        <v>1035</v>
        <stp/>
        <stp>Market</stp>
        <stp>FOP</stp>
        <stp>181363018</stp>
        <stp>最良売気配値1</stp>
        <tr r="BP136" s="1"/>
      </tp>
      <tp>
        <v>1155</v>
        <stp/>
        <stp>Market</stp>
        <stp>FOP</stp>
        <stp>191362018</stp>
        <stp>最良売気配値1</stp>
        <tr r="AV154" s="1"/>
      </tp>
      <tp>
        <v>3725</v>
        <stp/>
        <stp>Market</stp>
        <stp>FOP</stp>
        <stp>181360018</stp>
        <stp>最良売気配値1</stp>
        <tr r="BP150" s="1"/>
      </tp>
      <tp>
        <v>1485</v>
        <stp/>
        <stp>Market</stp>
        <stp>FOP</stp>
        <stp>191361018</stp>
        <stp>最良売気配値1</stp>
        <tr r="AV152" s="1"/>
      </tp>
      <tp>
        <v>4375</v>
        <stp/>
        <stp>Market</stp>
        <stp>FOP</stp>
        <stp>181361018</stp>
        <stp>最良売気配値1</stp>
        <tr r="BP152" s="1"/>
      </tp>
      <tp>
        <v>1860</v>
        <stp/>
        <stp>Market</stp>
        <stp>FOP</stp>
        <stp>191360018</stp>
        <stp>最良売気配値1</stp>
        <tr r="AV150" s="1"/>
      </tp>
      <tp>
        <v>1835</v>
        <stp/>
        <stp>Market</stp>
        <stp>FOP</stp>
        <stp>181366018</stp>
        <stp>最良売気配値1</stp>
        <tr r="BP142" s="1"/>
      </tp>
      <tp>
        <v>3335</v>
        <stp/>
        <stp>Market</stp>
        <stp>FOP</stp>
        <stp>191367018</stp>
        <stp>最良売気配値1</stp>
        <tr r="AV144" s="1"/>
      </tp>
      <tp>
        <v>2210</v>
        <stp/>
        <stp>Market</stp>
        <stp>FOP</stp>
        <stp>181367018</stp>
        <stp>最良売気配値1</stp>
        <tr r="BP144" s="1"/>
      </tp>
      <tp>
        <v>3960</v>
        <stp/>
        <stp>Market</stp>
        <stp>FOP</stp>
        <stp>191366018</stp>
        <stp>最良売気配値1</stp>
        <tr r="AV142" s="1"/>
      </tp>
      <tp>
        <v>1255</v>
        <stp/>
        <stp>Market</stp>
        <stp>FOP</stp>
        <stp>181364018</stp>
        <stp>最良売気配値1</stp>
        <tr r="BP138" s="1"/>
      </tp>
      <tp>
        <v>4860</v>
        <stp/>
        <stp>Market</stp>
        <stp>FOP</stp>
        <stp>191365018</stp>
        <stp>最良売気配値1</stp>
        <tr r="AV140" s="1"/>
      </tp>
      <tp>
        <v>1520</v>
        <stp/>
        <stp>Market</stp>
        <stp>FOP</stp>
        <stp>181365018</stp>
        <stp>最良売気配値1</stp>
        <tr r="BP140" s="1"/>
      </tp>
      <tp>
        <v>710</v>
        <stp/>
        <stp>Market</stp>
        <stp>FOP</stp>
        <stp>131361018</stp>
        <stp>最良売気配値1</stp>
        <tr r="BP132" s="1"/>
      </tp>
      <tp>
        <v>590</v>
        <stp/>
        <stp>Market</stp>
        <stp>FOP</stp>
        <stp>131360018</stp>
        <stp>最良売気配値1</stp>
        <tr r="BP130" s="1"/>
      </tp>
      <tp>
        <v>200</v>
        <stp/>
        <stp>Market</stp>
        <stp>FOP</stp>
        <stp>131363018</stp>
        <stp>最良売気配値1</stp>
        <tr r="BP116" s="1"/>
      </tp>
      <tp>
        <v>2670</v>
        <stp/>
        <stp>Market</stp>
        <stp>FOP</stp>
        <stp>181368018</stp>
        <stp>最良売気配値1</stp>
        <tr r="BP146" s="1"/>
      </tp>
      <tp>
        <v>2265</v>
        <stp/>
        <stp>Market</stp>
        <stp>FOP</stp>
        <stp>191369018</stp>
        <stp>最良売気配値1</stp>
        <tr r="AV148" s="1"/>
      </tp>
      <tp>
        <v>855</v>
        <stp/>
        <stp>Market</stp>
        <stp>FOP</stp>
        <stp>131362018</stp>
        <stp>最良売気配値1</stp>
        <tr r="BP134" s="1"/>
      </tp>
      <tp>
        <v>3170</v>
        <stp/>
        <stp>Market</stp>
        <stp>FOP</stp>
        <stp>181369018</stp>
        <stp>最良売気配値1</stp>
        <tr r="BP148" s="1"/>
      </tp>
      <tp>
        <v>2770</v>
        <stp/>
        <stp>Market</stp>
        <stp>FOP</stp>
        <stp>191368018</stp>
        <stp>最良売気配値1</stp>
        <tr r="AV146" s="1"/>
      </tp>
      <tp>
        <v>263</v>
        <stp/>
        <stp>Market</stp>
        <stp>FOP</stp>
        <stp>131365018</stp>
        <stp>最良売気配値1</stp>
        <tr r="BP120" s="1"/>
      </tp>
      <tp>
        <v>229</v>
        <stp/>
        <stp>Market</stp>
        <stp>FOP</stp>
        <stp>131364018</stp>
        <stp>最良売気配値1</stp>
        <tr r="BP118" s="1"/>
      </tp>
      <tp>
        <v>355</v>
        <stp/>
        <stp>Market</stp>
        <stp>FOP</stp>
        <stp>131367018</stp>
        <stp>最良売気配値1</stp>
        <tr r="BP124" s="1"/>
      </tp>
      <tp>
        <v>305</v>
        <stp/>
        <stp>Market</stp>
        <stp>FOP</stp>
        <stp>131366018</stp>
        <stp>最良売気配値1</stp>
        <tr r="BP122" s="1"/>
      </tp>
      <tp>
        <v>2470</v>
        <stp/>
        <stp>Market</stp>
        <stp>FOP</stp>
        <stp>131359018</stp>
        <stp>最良売気配値1</stp>
        <tr r="BP58" s="1"/>
      </tp>
      <tp>
        <v>1915</v>
        <stp/>
        <stp>Market</stp>
        <stp>FOP</stp>
        <stp>131358018</stp>
        <stp>最良売気配値1</stp>
        <tr r="BP56" s="1"/>
      </tp>
      <tp>
        <v>15</v>
        <stp/>
        <stp>Market</stp>
        <stp>FOP</stp>
        <stp>191350018</stp>
        <stp>最良売気配値1</stp>
        <tr r="AV80" s="1"/>
      </tp>
      <tp>
        <v>61</v>
        <stp/>
        <stp>Market</stp>
        <stp>FOP</stp>
        <stp>191357018</stp>
        <stp>最良売気配値1</stp>
        <tr r="AV74" s="1"/>
      </tp>
      <tp>
        <v>94</v>
        <stp/>
        <stp>Market</stp>
        <stp>FOP</stp>
        <stp>191356018</stp>
        <stp>最良売気配値1</stp>
        <tr r="AV72" s="1"/>
      </tp>
      <tp>
        <v>1960</v>
        <stp/>
        <stp>Market</stp>
        <stp>FOP</stp>
        <stp>141358018</stp>
        <stp>最良売気配値1</stp>
        <tr r="AV56" s="1"/>
      </tp>
      <tp>
        <v>148</v>
        <stp/>
        <stp>Market</stp>
        <stp>FOP</stp>
        <stp>191355018</stp>
        <stp>最良売気配値1</stp>
        <tr r="AV70" s="1"/>
      </tp>
      <tp>
        <v>1460</v>
        <stp/>
        <stp>Market</stp>
        <stp>FOP</stp>
        <stp>141359018</stp>
        <stp>最良売気配値1</stp>
        <tr r="AV58" s="1"/>
      </tp>
      <tp>
        <v>3935</v>
        <stp/>
        <stp>Market</stp>
        <stp>FOP</stp>
        <stp>131351018</stp>
        <stp>最良売気配値1</stp>
        <tr r="BP62" s="1"/>
      </tp>
      <tp>
        <v>3085</v>
        <stp/>
        <stp>Market</stp>
        <stp>FOP</stp>
        <stp>131350018</stp>
        <stp>最良売気配値1</stp>
        <tr r="BP60" s="1"/>
      </tp>
      <tp>
        <v>2535</v>
        <stp/>
        <stp>Market</stp>
        <stp>FOP</stp>
        <stp>141357018</stp>
        <stp>最良売気配値1</stp>
        <tr r="AV54" s="1"/>
      </tp>
      <tp>
        <v>228</v>
        <stp/>
        <stp>Market</stp>
        <stp>FOP</stp>
        <stp>141354018</stp>
        <stp>最良売気配値1</stp>
        <tr r="AV68" s="1"/>
      </tp>
      <tp>
        <v>23</v>
        <stp/>
        <stp>Market</stp>
        <stp>FOP</stp>
        <stp>191359018</stp>
        <stp>最良売気配値1</stp>
        <tr r="AV78" s="1"/>
      </tp>
      <tp>
        <v>37</v>
        <stp/>
        <stp>Market</stp>
        <stp>FOP</stp>
        <stp>191358018</stp>
        <stp>最良売気配値1</stp>
        <tr r="AV76" s="1"/>
      </tp>
      <tp>
        <v>510</v>
        <stp/>
        <stp>Market</stp>
        <stp>FOP</stp>
        <stp>141352018</stp>
        <stp>最良売気配値1</stp>
        <tr r="AV64" s="1"/>
      </tp>
      <tp>
        <v>345</v>
        <stp/>
        <stp>Market</stp>
        <stp>FOP</stp>
        <stp>141353018</stp>
        <stp>最良売気配値1</stp>
        <tr r="AV66" s="1"/>
      </tp>
      <tp>
        <v>1490</v>
        <stp/>
        <stp>Market</stp>
        <stp>FOP</stp>
        <stp>131357018</stp>
        <stp>最良売気配値1</stp>
        <tr r="BP54" s="1"/>
      </tp>
      <tp>
        <v>1060</v>
        <stp/>
        <stp>Market</stp>
        <stp>FOP</stp>
        <stp>141350018</stp>
        <stp>最良売気配値1</stp>
        <tr r="AV60" s="1"/>
      </tp>
      <tp>
        <v>740</v>
        <stp/>
        <stp>Market</stp>
        <stp>FOP</stp>
        <stp>141351018</stp>
        <stp>最良売気配値1</stp>
        <tr r="AV62" s="1"/>
      </tp>
      <tp>
        <v>68085</v>
        <stp/>
        <stp>Market</stp>
        <stp>FOP</stp>
        <stp>161120019</stp>
        <stp>最良買気配値1</stp>
        <tr r="AX11" s="1"/>
      </tp>
      <tp>
        <v>68005</v>
        <stp/>
        <stp>Market</stp>
        <stp>FOP</stp>
        <stp>161110019</stp>
        <stp>最良買気配値1</stp>
        <tr r="AX10" s="1"/>
      </tp>
      <tp>
        <v>59</v>
        <stp/>
        <stp>Market</stp>
        <stp>FOP</stp>
        <stp>181112018</stp>
        <stp>最良買気配値1</stp>
        <tr r="BR24" s="1"/>
      </tp>
      <tp>
        <v>70</v>
        <stp/>
        <stp>Market</stp>
        <stp>FOP</stp>
        <stp>181113018</stp>
        <stp>最良買気配値1</stp>
        <tr r="BR26" s="1"/>
      </tp>
      <tp>
        <v>45</v>
        <stp/>
        <stp>Market</stp>
        <stp>FOP</stp>
        <stp>181110018</stp>
        <stp>最良買気配値1</stp>
        <tr r="BR20" s="1"/>
      </tp>
      <tp>
        <v>51</v>
        <stp/>
        <stp>Market</stp>
        <stp>FOP</stp>
        <stp>181111018</stp>
        <stp>最良買気配値1</stp>
        <tr r="BR22" s="1"/>
      </tp>
      <tp>
        <v>22</v>
        <stp/>
        <stp>Market</stp>
        <stp>FOP</stp>
        <stp>181116018</stp>
        <stp>最良買気配値1</stp>
        <tr r="BR12" s="1"/>
      </tp>
      <tp>
        <v>27</v>
        <stp/>
        <stp>Market</stp>
        <stp>FOP</stp>
        <stp>181117018</stp>
        <stp>最良買気配値1</stp>
        <tr r="BR14" s="1"/>
      </tp>
      <tp>
        <v>80</v>
        <stp/>
        <stp>Market</stp>
        <stp>FOP</stp>
        <stp>181114018</stp>
        <stp>最良買気配値1</stp>
        <tr r="BR28" s="1"/>
      </tp>
      <tp>
        <v>94</v>
        <stp/>
        <stp>Market</stp>
        <stp>FOP</stp>
        <stp>181115018</stp>
        <stp>最良買気配値1</stp>
        <tr r="BR30" s="1"/>
      </tp>
      <tp>
        <v>34</v>
        <stp/>
        <stp>Market</stp>
        <stp>FOP</stp>
        <stp>181118018</stp>
        <stp>最良買気配値1</stp>
        <tr r="BR16" s="1"/>
      </tp>
      <tp>
        <v>38</v>
        <stp/>
        <stp>Market</stp>
        <stp>FOP</stp>
        <stp>181119018</stp>
        <stp>最良買気配値1</stp>
        <tr r="BR18" s="1"/>
      </tp>
      <tp>
        <v>165</v>
        <stp/>
        <stp>Market</stp>
        <stp>FOP</stp>
        <stp>181242018</stp>
        <stp>最良買気配値1</stp>
        <tr r="BR114" s="1"/>
      </tp>
      <tp>
        <v>125</v>
        <stp/>
        <stp>Market</stp>
        <stp>FOP</stp>
        <stp>181240018</stp>
        <stp>最良買気配値1</stp>
        <tr r="BR110" s="1"/>
      </tp>
      <tp>
        <v>144</v>
        <stp/>
        <stp>Market</stp>
        <stp>FOP</stp>
        <stp>181241018</stp>
        <stp>最良買気配値1</stp>
        <tr r="BR112" s="1"/>
      </tp>
      <tp>
        <v>75</v>
        <stp/>
        <stp>Market</stp>
        <stp>FOP</stp>
        <stp>181246018</stp>
        <stp>最良買気配値1</stp>
        <tr r="BR102" s="1"/>
      </tp>
      <tp>
        <v>84</v>
        <stp/>
        <stp>Market</stp>
        <stp>FOP</stp>
        <stp>181247018</stp>
        <stp>最良買気配値1</stp>
        <tr r="BR104" s="1"/>
      </tp>
      <tp>
        <v>96</v>
        <stp/>
        <stp>Market</stp>
        <stp>FOP</stp>
        <stp>181248018</stp>
        <stp>最良買気配値1</stp>
        <tr r="BR106" s="1"/>
      </tp>
      <tp>
        <v>109</v>
        <stp/>
        <stp>Market</stp>
        <stp>FOP</stp>
        <stp>181249018</stp>
        <stp>最良買気配値1</stp>
        <tr r="BR108" s="1"/>
      </tp>
      <tp>
        <v>196</v>
        <stp/>
        <stp>Market</stp>
        <stp>FOP</stp>
        <stp>131239018</stp>
        <stp>最良買気配値1</stp>
        <tr r="BR38" s="1"/>
      </tp>
      <tp>
        <v>159</v>
        <stp/>
        <stp>Market</stp>
        <stp>FOP</stp>
        <stp>131238018</stp>
        <stp>最良買気配値1</stp>
        <tr r="BR36" s="1"/>
      </tp>
      <tp>
        <v>1120</v>
        <stp/>
        <stp>Market</stp>
        <stp>FOP</stp>
        <stp>181236018</stp>
        <stp>最良買気配値1</stp>
        <tr r="BR52" s="1"/>
      </tp>
      <tp>
        <v>2985</v>
        <stp/>
        <stp>Market</stp>
        <stp>FOP</stp>
        <stp>191236018</stp>
        <stp>最良買気配値1</stp>
        <tr r="AX52" s="1"/>
      </tp>
      <tp>
        <v>286</v>
        <stp/>
        <stp>Market</stp>
        <stp>FOP</stp>
        <stp>131231018</stp>
        <stp>最良買気配値1</stp>
        <tr r="BR42" s="1"/>
      </tp>
      <tp>
        <v>243</v>
        <stp/>
        <stp>Market</stp>
        <stp>FOP</stp>
        <stp>131230018</stp>
        <stp>最良買気配値1</stp>
        <tr r="BR40" s="1"/>
      </tp>
      <tp>
        <v>505</v>
        <stp/>
        <stp>Market</stp>
        <stp>FOP</stp>
        <stp>131233018</stp>
        <stp>最良買気配値1</stp>
        <tr r="BR46" s="1"/>
      </tp>
      <tp>
        <v>390</v>
        <stp/>
        <stp>Market</stp>
        <stp>FOP</stp>
        <stp>131232018</stp>
        <stp>最良買気配値1</stp>
        <tr r="BR44" s="1"/>
      </tp>
      <tp>
        <v>3730</v>
        <stp/>
        <stp>Market</stp>
        <stp>FOP</stp>
        <stp>141235018</stp>
        <stp>最良買気配値1</stp>
        <tr r="AX50" s="1"/>
      </tp>
      <tp>
        <v>855</v>
        <stp/>
        <stp>Market</stp>
        <stp>FOP</stp>
        <stp>131235018</stp>
        <stp>最良買気配値1</stp>
        <tr r="BR50" s="1"/>
      </tp>
      <tp>
        <v>660</v>
        <stp/>
        <stp>Market</stp>
        <stp>FOP</stp>
        <stp>131234018</stp>
        <stp>最良買気配値1</stp>
        <tr r="BR48" s="1"/>
      </tp>
      <tp>
        <v>133</v>
        <stp/>
        <stp>Market</stp>
        <stp>FOP</stp>
        <stp>131237018</stp>
        <stp>最良買気配値1</stp>
        <tr r="BR34" s="1"/>
      </tp>
      <tp>
        <v>112</v>
        <stp/>
        <stp>Market</stp>
        <stp>FOP</stp>
        <stp>131236018</stp>
        <stp>最良買気配値1</stp>
        <tr r="BR32" s="1"/>
      </tp>
      <tp>
        <v>480</v>
        <stp/>
        <stp>Market</stp>
        <stp>FOP</stp>
        <stp>131369018</stp>
        <stp>最良買気配値1</stp>
        <tr r="BR128" s="1"/>
      </tp>
      <tp>
        <v>410</v>
        <stp/>
        <stp>Market</stp>
        <stp>FOP</stp>
        <stp>131368018</stp>
        <stp>最良買気配値1</stp>
        <tr r="BR126" s="1"/>
      </tp>
      <tp>
        <v>1020</v>
        <stp/>
        <stp>Market</stp>
        <stp>FOP</stp>
        <stp>181363018</stp>
        <stp>最良買気配値1</stp>
        <tr r="BR136" s="1"/>
      </tp>
      <tp>
        <v>1125</v>
        <stp/>
        <stp>Market</stp>
        <stp>FOP</stp>
        <stp>191362018</stp>
        <stp>最良買気配値1</stp>
        <tr r="AX154" s="1"/>
      </tp>
      <tp>
        <v>3665</v>
        <stp/>
        <stp>Market</stp>
        <stp>FOP</stp>
        <stp>181360018</stp>
        <stp>最良買気配値1</stp>
        <tr r="BR150" s="1"/>
      </tp>
      <tp>
        <v>1425</v>
        <stp/>
        <stp>Market</stp>
        <stp>FOP</stp>
        <stp>191361018</stp>
        <stp>最良買気配値1</stp>
        <tr r="AX152" s="1"/>
      </tp>
      <tp>
        <v>4295</v>
        <stp/>
        <stp>Market</stp>
        <stp>FOP</stp>
        <stp>181361018</stp>
        <stp>最良買気配値1</stp>
        <tr r="BR152" s="1"/>
      </tp>
      <tp>
        <v>1780</v>
        <stp/>
        <stp>Market</stp>
        <stp>FOP</stp>
        <stp>191360018</stp>
        <stp>最良買気配値1</stp>
        <tr r="AX150" s="1"/>
      </tp>
      <tp>
        <v>1795</v>
        <stp/>
        <stp>Market</stp>
        <stp>FOP</stp>
        <stp>181366018</stp>
        <stp>最良買気配値1</stp>
        <tr r="BR142" s="1"/>
      </tp>
      <tp>
        <v>3275</v>
        <stp/>
        <stp>Market</stp>
        <stp>FOP</stp>
        <stp>191367018</stp>
        <stp>最良買気配値1</stp>
        <tr r="AX144" s="1"/>
      </tp>
      <tp>
        <v>2175</v>
        <stp/>
        <stp>Market</stp>
        <stp>FOP</stp>
        <stp>181367018</stp>
        <stp>最良買気配値1</stp>
        <tr r="BR144" s="1"/>
      </tp>
      <tp>
        <v>3890</v>
        <stp/>
        <stp>Market</stp>
        <stp>FOP</stp>
        <stp>191366018</stp>
        <stp>最良買気配値1</stp>
        <tr r="AX142" s="1"/>
      </tp>
      <tp>
        <v>1230</v>
        <stp/>
        <stp>Market</stp>
        <stp>FOP</stp>
        <stp>181364018</stp>
        <stp>最良買気配値1</stp>
        <tr r="BR138" s="1"/>
      </tp>
      <tp>
        <v>4400</v>
        <stp/>
        <stp>Market</stp>
        <stp>FOP</stp>
        <stp>191365018</stp>
        <stp>最良買気配値1</stp>
        <tr r="AX140" s="1"/>
      </tp>
      <tp>
        <v>1495</v>
        <stp/>
        <stp>Market</stp>
        <stp>FOP</stp>
        <stp>181365018</stp>
        <stp>最良買気配値1</stp>
        <tr r="BR140" s="1"/>
      </tp>
      <tp>
        <v>695</v>
        <stp/>
        <stp>Market</stp>
        <stp>FOP</stp>
        <stp>131361018</stp>
        <stp>最良買気配値1</stp>
        <tr r="BR132" s="1"/>
      </tp>
      <tp>
        <v>580</v>
        <stp/>
        <stp>Market</stp>
        <stp>FOP</stp>
        <stp>131360018</stp>
        <stp>最良買気配値1</stp>
        <tr r="BR130" s="1"/>
      </tp>
      <tp>
        <v>189</v>
        <stp/>
        <stp>Market</stp>
        <stp>FOP</stp>
        <stp>131363018</stp>
        <stp>最良買気配値1</stp>
        <tr r="BR116" s="1"/>
      </tp>
      <tp>
        <v>2580</v>
        <stp/>
        <stp>Market</stp>
        <stp>FOP</stp>
        <stp>181368018</stp>
        <stp>最良買気配値1</stp>
        <tr r="BR146" s="1"/>
      </tp>
      <tp>
        <v>2200</v>
        <stp/>
        <stp>Market</stp>
        <stp>FOP</stp>
        <stp>191369018</stp>
        <stp>最良買気配値1</stp>
        <tr r="AX148" s="1"/>
      </tp>
      <tp>
        <v>840</v>
        <stp/>
        <stp>Market</stp>
        <stp>FOP</stp>
        <stp>131362018</stp>
        <stp>最良買気配値1</stp>
        <tr r="BR134" s="1"/>
      </tp>
      <tp>
        <v>3105</v>
        <stp/>
        <stp>Market</stp>
        <stp>FOP</stp>
        <stp>181369018</stp>
        <stp>最良買気配値1</stp>
        <tr r="BR148" s="1"/>
      </tp>
      <tp>
        <v>2720</v>
        <stp/>
        <stp>Market</stp>
        <stp>FOP</stp>
        <stp>191368018</stp>
        <stp>最良買気配値1</stp>
        <tr r="AX146" s="1"/>
      </tp>
      <tp>
        <v>254</v>
        <stp/>
        <stp>Market</stp>
        <stp>FOP</stp>
        <stp>131365018</stp>
        <stp>最良買気配値1</stp>
        <tr r="BR120" s="1"/>
      </tp>
      <tp>
        <v>220</v>
        <stp/>
        <stp>Market</stp>
        <stp>FOP</stp>
        <stp>131364018</stp>
        <stp>最良買気配値1</stp>
        <tr r="BR118" s="1"/>
      </tp>
      <tp>
        <v>345</v>
        <stp/>
        <stp>Market</stp>
        <stp>FOP</stp>
        <stp>131367018</stp>
        <stp>最良買気配値1</stp>
        <tr r="BR124" s="1"/>
      </tp>
      <tp>
        <v>294</v>
        <stp/>
        <stp>Market</stp>
        <stp>FOP</stp>
        <stp>131366018</stp>
        <stp>最良買気配値1</stp>
        <tr r="BR122" s="1"/>
      </tp>
      <tp>
        <v>2330</v>
        <stp/>
        <stp>Market</stp>
        <stp>FOP</stp>
        <stp>131359018</stp>
        <stp>最良買気配値1</stp>
        <tr r="BR58" s="1"/>
      </tp>
      <tp>
        <v>1865</v>
        <stp/>
        <stp>Market</stp>
        <stp>FOP</stp>
        <stp>131358018</stp>
        <stp>最良買気配値1</stp>
        <tr r="BR56" s="1"/>
      </tp>
      <tp>
        <v>14</v>
        <stp/>
        <stp>Market</stp>
        <stp>FOP</stp>
        <stp>191350018</stp>
        <stp>最良買気配値1</stp>
        <tr r="AX80" s="1"/>
      </tp>
      <tp>
        <v>55</v>
        <stp/>
        <stp>Market</stp>
        <stp>FOP</stp>
        <stp>191357018</stp>
        <stp>最良買気配値1</stp>
        <tr r="AX74" s="1"/>
      </tp>
      <tp>
        <v>90</v>
        <stp/>
        <stp>Market</stp>
        <stp>FOP</stp>
        <stp>191356018</stp>
        <stp>最良買気配値1</stp>
        <tr r="AX72" s="1"/>
      </tp>
      <tp>
        <v>1865</v>
        <stp/>
        <stp>Market</stp>
        <stp>FOP</stp>
        <stp>141358018</stp>
        <stp>最良買気配値1</stp>
        <tr r="AX56" s="1"/>
      </tp>
      <tp>
        <v>139</v>
        <stp/>
        <stp>Market</stp>
        <stp>FOP</stp>
        <stp>191355018</stp>
        <stp>最良買気配値1</stp>
        <tr r="AX70" s="1"/>
      </tp>
      <tp>
        <v>1410</v>
        <stp/>
        <stp>Market</stp>
        <stp>FOP</stp>
        <stp>141359018</stp>
        <stp>最良買気配値1</stp>
        <tr r="AX58" s="1"/>
      </tp>
      <tp>
        <v>3505</v>
        <stp/>
        <stp>Market</stp>
        <stp>FOP</stp>
        <stp>131351018</stp>
        <stp>最良買気配値1</stp>
        <tr r="BR62" s="1"/>
      </tp>
      <tp>
        <v>2945</v>
        <stp/>
        <stp>Market</stp>
        <stp>FOP</stp>
        <stp>131350018</stp>
        <stp>最良買気配値1</stp>
        <tr r="BR60" s="1"/>
      </tp>
      <tp>
        <v>2435</v>
        <stp/>
        <stp>Market</stp>
        <stp>FOP</stp>
        <stp>141357018</stp>
        <stp>最良買気配値1</stp>
        <tr r="AX54" s="1"/>
      </tp>
      <tp>
        <v>216</v>
        <stp/>
        <stp>Market</stp>
        <stp>FOP</stp>
        <stp>141354018</stp>
        <stp>最良買気配値1</stp>
        <tr r="AX68" s="1"/>
      </tp>
      <tp>
        <v>22</v>
        <stp/>
        <stp>Market</stp>
        <stp>FOP</stp>
        <stp>191359018</stp>
        <stp>最良買気配値1</stp>
        <tr r="AX78" s="1"/>
      </tp>
      <tp>
        <v>35</v>
        <stp/>
        <stp>Market</stp>
        <stp>FOP</stp>
        <stp>191358018</stp>
        <stp>最良買気配値1</stp>
        <tr r="AX76" s="1"/>
      </tp>
      <tp>
        <v>495</v>
        <stp/>
        <stp>Market</stp>
        <stp>FOP</stp>
        <stp>141352018</stp>
        <stp>最良買気配値1</stp>
        <tr r="AX64" s="1"/>
      </tp>
      <tp>
        <v>330</v>
        <stp/>
        <stp>Market</stp>
        <stp>FOP</stp>
        <stp>141353018</stp>
        <stp>最良買気配値1</stp>
        <tr r="AX66" s="1"/>
      </tp>
      <tp>
        <v>1465</v>
        <stp/>
        <stp>Market</stp>
        <stp>FOP</stp>
        <stp>131357018</stp>
        <stp>最良買気配値1</stp>
        <tr r="BR54" s="1"/>
      </tp>
      <tp>
        <v>1035</v>
        <stp/>
        <stp>Market</stp>
        <stp>FOP</stp>
        <stp>141350018</stp>
        <stp>最良買気配値1</stp>
        <tr r="AX60" s="1"/>
      </tp>
      <tp>
        <v>725</v>
        <stp/>
        <stp>Market</stp>
        <stp>FOP</stp>
        <stp>141351018</stp>
        <stp>最良買気配値1</stp>
        <tr r="AX62" s="1"/>
      </tp>
      <tp>
        <v>41</v>
        <stp/>
        <stp>Market</stp>
        <stp>FOP</stp>
        <stp>191483018</stp>
        <stp>最良買気配値1</stp>
        <tr r="AX176" s="1"/>
      </tp>
      <tp>
        <v>3</v>
        <stp/>
        <stp>Market</stp>
        <stp>FOP</stp>
        <stp>191480018</stp>
        <stp>最良買気配値1</stp>
        <tr r="AX190" s="1"/>
      </tp>
      <tp>
        <v>217</v>
        <stp/>
        <stp>Market</stp>
        <stp>FOP</stp>
        <stp>141488018</stp>
        <stp>最良買気配値1</stp>
        <tr r="AX166" s="1"/>
      </tp>
      <tp>
        <v>14</v>
        <stp/>
        <stp>Market</stp>
        <stp>FOP</stp>
        <stp>191485018</stp>
        <stp>最良買気配値1</stp>
        <tr r="AX180" s="1"/>
      </tp>
      <tp>
        <v>160</v>
        <stp/>
        <stp>Market</stp>
        <stp>FOP</stp>
        <stp>141489018</stp>
        <stp>最良買気配値1</stp>
        <tr r="AX168" s="1"/>
      </tp>
      <tp>
        <v>25</v>
        <stp/>
        <stp>Market</stp>
        <stp>FOP</stp>
        <stp>191484018</stp>
        <stp>最良買気配値1</stp>
        <tr r="AX178" s="1"/>
      </tp>
      <tp>
        <v>390</v>
        <stp/>
        <stp>Market</stp>
        <stp>FOP</stp>
        <stp>141486018</stp>
        <stp>最良買気配値1</stp>
        <tr r="AX162" s="1"/>
      </tp>
      <tp>
        <v>293</v>
        <stp/>
        <stp>Market</stp>
        <stp>FOP</stp>
        <stp>141487018</stp>
        <stp>最良買気配値1</stp>
        <tr r="AX164" s="1"/>
      </tp>
      <tp>
        <v>675</v>
        <stp/>
        <stp>Market</stp>
        <stp>FOP</stp>
        <stp>141484018</stp>
        <stp>最良買気配値1</stp>
        <tr r="AX158" s="1"/>
      </tp>
      <tp>
        <v>515</v>
        <stp/>
        <stp>Market</stp>
        <stp>FOP</stp>
        <stp>141485018</stp>
        <stp>最良買気配値1</stp>
        <tr r="AX160" s="1"/>
      </tp>
      <tp>
        <v>58</v>
        <stp/>
        <stp>Market</stp>
        <stp>FOP</stp>
        <stp>141482018</stp>
        <stp>最良買気配値1</stp>
        <tr r="AX174" s="1"/>
      </tp>
      <tp>
        <v>875</v>
        <stp/>
        <stp>Market</stp>
        <stp>FOP</stp>
        <stp>141483018</stp>
        <stp>最良買気配値1</stp>
        <tr r="AX156" s="1"/>
      </tp>
      <tp>
        <v>118</v>
        <stp/>
        <stp>Market</stp>
        <stp>FOP</stp>
        <stp>141480018</stp>
        <stp>最良買気配値1</stp>
        <tr r="AX170" s="1"/>
      </tp>
      <tp>
        <v>84</v>
        <stp/>
        <stp>Market</stp>
        <stp>FOP</stp>
        <stp>141481018</stp>
        <stp>最良買気配値1</stp>
        <tr r="AX172" s="1"/>
      </tp>
      <tp>
        <v>2</v>
        <stp/>
        <stp>Market</stp>
        <stp>FOP</stp>
        <stp>141475018</stp>
        <stp>最良買気配値1</stp>
        <tr r="AX90" s="1"/>
      </tp>
      <tp>
        <v>0</v>
        <stp/>
        <stp>Market</stp>
        <stp>FOP</stp>
        <stp>141470018</stp>
        <stp>最良買気配値1</stp>
        <tr r="AX100" s="1"/>
      </tp>
    </main>
    <main first="rtdsrv.48cf1ad348244608b72d359ebfbe4e5c">
      <tp>
        <v>8</v>
        <stp/>
        <stp>Market</stp>
        <stp>FOP</stp>
        <stp>141475018</stp>
        <stp>売買代金</stp>
        <tr r="BB90" s="1"/>
      </tp>
      <tp>
        <v>0</v>
        <stp/>
        <stp>Market</stp>
        <stp>FOP</stp>
        <stp>141470018</stp>
        <stp>売買代金</stp>
        <tr r="BB100" s="1"/>
      </tp>
    </main>
    <main first="rtdsrv.48cf1ad348244608b72d359ebfbe4e5c">
      <tp>
        <v>0</v>
        <stp/>
        <stp>Market</stp>
        <stp>FOP</stp>
        <stp>141485518</stp>
        <stp>売買代金</stp>
        <tr r="BB161" s="1"/>
      </tp>
      <tp>
        <v>0</v>
        <stp/>
        <stp>Market</stp>
        <stp>FOP</stp>
        <stp>141485018</stp>
        <stp>売買代金</stp>
        <tr r="BB160" s="1"/>
      </tp>
      <tp>
        <v>0</v>
        <stp/>
        <stp>Market</stp>
        <stp>FOP</stp>
        <stp>141484518</stp>
        <stp>売買代金</stp>
        <tr r="BB159" s="1"/>
      </tp>
      <tp>
        <v>0</v>
        <stp/>
        <stp>Market</stp>
        <stp>FOP</stp>
        <stp>141484018</stp>
        <stp>売買代金</stp>
        <tr r="BB158" s="1"/>
      </tp>
      <tp>
        <v>0</v>
        <stp/>
        <stp>Market</stp>
        <stp>FOP</stp>
        <stp>141487518</stp>
        <stp>売買代金</stp>
        <tr r="BB145" s="1"/>
      </tp>
      <tp>
        <v>290</v>
        <stp/>
        <stp>Market</stp>
        <stp>FOP</stp>
        <stp>141487018</stp>
        <stp>売買代金</stp>
        <tr r="BB164" s="1"/>
      </tp>
      <tp>
        <v>0</v>
        <stp/>
        <stp>Market</stp>
        <stp>FOP</stp>
        <stp>141486018</stp>
        <stp>売買代金</stp>
        <tr r="BB162" s="1"/>
      </tp>
      <tp>
        <v>0</v>
        <stp/>
        <stp>Market</stp>
        <stp>FOP</stp>
        <stp>141481018</stp>
        <stp>売買代金</stp>
        <tr r="BB172" s="1"/>
      </tp>
      <tp>
        <v>0</v>
        <stp/>
        <stp>Market</stp>
        <stp>FOP</stp>
        <stp>131487518</stp>
        <stp>売買代金</stp>
        <tr r="BV145" s="1"/>
      </tp>
      <tp>
        <v>624</v>
        <stp/>
        <stp>Market</stp>
        <stp>FOP</stp>
        <stp>141480018</stp>
        <stp>売買代金</stp>
        <tr r="BB170" s="1"/>
      </tp>
      <tp>
        <v>0</v>
        <stp/>
        <stp>Market</stp>
        <stp>FOP</stp>
        <stp>141483518</stp>
        <stp>売買代金</stp>
        <tr r="BB157" s="1"/>
      </tp>
      <tp>
        <v>0</v>
        <stp/>
        <stp>Market</stp>
        <stp>FOP</stp>
        <stp>141483018</stp>
        <stp>売買代金</stp>
        <tr r="BB156" s="1"/>
      </tp>
      <tp>
        <v>1085</v>
        <stp/>
        <stp>Market</stp>
        <stp>FOP</stp>
        <stp>141482518</stp>
        <stp>売買代金</stp>
        <tr r="BB155" s="1"/>
      </tp>
      <tp>
        <v>0</v>
        <stp/>
        <stp>Market</stp>
        <stp>FOP</stp>
        <stp>141482018</stp>
        <stp>売買代金</stp>
        <tr r="BB174" s="1"/>
      </tp>
      <tp>
        <v>15</v>
        <stp/>
        <stp>Market</stp>
        <stp>FOP</stp>
        <stp>191480018</stp>
        <stp>売買代金</stp>
        <tr r="BB190" s="1"/>
      </tp>
      <tp>
        <v>0</v>
        <stp/>
        <stp>Market</stp>
        <stp>FOP</stp>
        <stp>191482518</stp>
        <stp>売買代金</stp>
        <tr r="BB175" s="1"/>
      </tp>
      <tp>
        <v>47</v>
        <stp/>
        <stp>Market</stp>
        <stp>FOP</stp>
        <stp>191483018</stp>
        <stp>売買代金</stp>
        <tr r="BB176" s="1"/>
      </tp>
      <tp>
        <v>0</v>
        <stp/>
        <stp>Market</stp>
        <stp>FOP</stp>
        <stp>141489018</stp>
        <stp>売買代金</stp>
        <tr r="BB168" s="1"/>
      </tp>
      <tp>
        <v>0</v>
        <stp/>
        <stp>Market</stp>
        <stp>FOP</stp>
        <stp>191484018</stp>
        <stp>売買代金</stp>
        <tr r="BB178" s="1"/>
      </tp>
      <tp>
        <v>0</v>
        <stp/>
        <stp>Market</stp>
        <stp>FOP</stp>
        <stp>141488018</stp>
        <stp>売買代金</stp>
        <tr r="BB166" s="1"/>
      </tp>
      <tp>
        <v>24</v>
        <stp/>
        <stp>Market</stp>
        <stp>FOP</stp>
        <stp>191485018</stp>
        <stp>売買代金</stp>
        <tr r="BB180" s="1"/>
      </tp>
      <tp>
        <v>0</v>
        <stp/>
        <stp>Market</stp>
        <stp>FOP</stp>
        <stp>191487518</stp>
        <stp>売買代金</stp>
        <tr r="BB185" s="1"/>
      </tp>
    </main>
    <main first="rtdsrv.48cf1ad348244608b72d359ebfbe4e5c">
      <tp>
        <v>0</v>
        <stp/>
        <stp>Market</stp>
        <stp>FOP</stp>
        <stp>181249518</stp>
        <stp>売買代金</stp>
        <tr r="BV109" s="1"/>
      </tp>
      <tp>
        <v>0</v>
        <stp/>
        <stp>Market</stp>
        <stp>FOP</stp>
        <stp>181249018</stp>
        <stp>売買代金</stp>
        <tr r="BV108" s="1"/>
      </tp>
      <tp>
        <v>0</v>
        <stp/>
        <stp>Market</stp>
        <stp>FOP</stp>
        <stp>181248518</stp>
        <stp>売買代金</stp>
        <tr r="BV107" s="1"/>
      </tp>
      <tp>
        <v>96</v>
        <stp/>
        <stp>Market</stp>
        <stp>FOP</stp>
        <stp>181248018</stp>
        <stp>売買代金</stp>
        <tr r="BV106" s="1"/>
      </tp>
      <tp>
        <v>0</v>
        <stp/>
        <stp>Market</stp>
        <stp>FOP</stp>
        <stp>181241518</stp>
        <stp>売買代金</stp>
        <tr r="BV113" s="1"/>
      </tp>
      <tp>
        <v>0</v>
        <stp/>
        <stp>Market</stp>
        <stp>FOP</stp>
        <stp>181241018</stp>
        <stp>売買代金</stp>
        <tr r="BV112" s="1"/>
      </tp>
      <tp>
        <v>0</v>
        <stp/>
        <stp>Market</stp>
        <stp>FOP</stp>
        <stp>181240518</stp>
        <stp>売買代金</stp>
        <tr r="BV111" s="1"/>
      </tp>
      <tp>
        <v>260</v>
        <stp/>
        <stp>Market</stp>
        <stp>FOP</stp>
        <stp>181240018</stp>
        <stp>売買代金</stp>
        <tr r="BV110" s="1"/>
      </tp>
      <tp>
        <v>0</v>
        <stp/>
        <stp>Market</stp>
        <stp>FOP</stp>
        <stp>181242518</stp>
        <stp>売買代金</stp>
        <tr r="BV135" s="1"/>
      </tp>
      <tp>
        <v>0</v>
        <stp/>
        <stp>Market</stp>
        <stp>FOP</stp>
        <stp>181242018</stp>
        <stp>売買代金</stp>
        <tr r="BV114" s="1"/>
      </tp>
      <tp>
        <v>0</v>
        <stp/>
        <stp>Market</stp>
        <stp>FOP</stp>
        <stp>181247518</stp>
        <stp>売買代金</stp>
        <tr r="BV105" s="1"/>
      </tp>
      <tp>
        <v>80</v>
        <stp/>
        <stp>Market</stp>
        <stp>FOP</stp>
        <stp>181247018</stp>
        <stp>売買代金</stp>
        <tr r="BV104" s="1"/>
      </tp>
      <tp>
        <v>0</v>
        <stp/>
        <stp>Market</stp>
        <stp>FOP</stp>
        <stp>181246518</stp>
        <stp>売買代金</stp>
        <tr r="BV103" s="1"/>
      </tp>
      <tp>
        <v>0</v>
        <stp/>
        <stp>Market</stp>
        <stp>FOP</stp>
        <stp>181246018</stp>
        <stp>売買代金</stp>
        <tr r="BV102" s="1"/>
      </tp>
      <tp>
        <v>0</v>
        <stp/>
        <stp>Market</stp>
        <stp>FOP</stp>
        <stp>131232518</stp>
        <stp>売買代金</stp>
        <tr r="BV45" s="1"/>
      </tp>
      <tp>
        <v>0</v>
        <stp/>
        <stp>Market</stp>
        <stp>FOP</stp>
        <stp>141235518</stp>
        <stp>売買代金</stp>
        <tr r="BB51" s="1"/>
      </tp>
      <tp>
        <v>33</v>
        <stp/>
        <stp>Market</stp>
        <stp>FOP</stp>
        <stp>191238518</stp>
        <stp>売買代金</stp>
        <tr r="BB77" s="1"/>
      </tp>
      <tp>
        <v>1085</v>
        <stp/>
        <stp>Market</stp>
        <stp>FOP</stp>
        <stp>131232018</stp>
        <stp>売買代金</stp>
        <tr r="BV44" s="1"/>
      </tp>
      <tp>
        <v>0</v>
        <stp/>
        <stp>Market</stp>
        <stp>FOP</stp>
        <stp>141235018</stp>
        <stp>売買代金</stp>
        <tr r="BB50" s="1"/>
      </tp>
      <tp>
        <v>58</v>
        <stp/>
        <stp>Market</stp>
        <stp>FOP</stp>
        <stp>191239518</stp>
        <stp>売買代金</stp>
        <tr r="BB79" s="1"/>
      </tp>
      <tp>
        <v>2925</v>
        <stp/>
        <stp>Market</stp>
        <stp>FOP</stp>
        <stp>131233018</stp>
        <stp>売買代金</stp>
        <tr r="BV46" s="1"/>
      </tp>
      <tp>
        <v>0</v>
        <stp/>
        <stp>Market</stp>
        <stp>FOP</stp>
        <stp>131230518</stp>
        <stp>売買代金</stp>
        <tr r="BV61" s="1"/>
      </tp>
      <tp>
        <v>236</v>
        <stp/>
        <stp>Market</stp>
        <stp>FOP</stp>
        <stp>141237518</stp>
        <stp>売買代金</stp>
        <tr r="BB75" s="1"/>
      </tp>
      <tp>
        <v>1878</v>
        <stp/>
        <stp>Market</stp>
        <stp>FOP</stp>
        <stp>131230018</stp>
        <stp>売買代金</stp>
        <tr r="BV40" s="1"/>
      </tp>
      <tp>
        <v>0</v>
        <stp/>
        <stp>Market</stp>
        <stp>FOP</stp>
        <stp>141236518</stp>
        <stp>売買代金</stp>
        <tr r="BB53" s="1"/>
      </tp>
      <tp>
        <v>11510</v>
        <stp/>
        <stp>Market</stp>
        <stp>FOP</stp>
        <stp>131231018</stp>
        <stp>売買代金</stp>
        <tr r="BV42" s="1"/>
      </tp>
      <tp>
        <v>1245</v>
        <stp/>
        <stp>Market</stp>
        <stp>FOP</stp>
        <stp>131236518</stp>
        <stp>売買代金</stp>
        <tr r="BV53" s="1"/>
      </tp>
      <tp>
        <v>660</v>
        <stp/>
        <stp>Market</stp>
        <stp>FOP</stp>
        <stp>141231518</stp>
        <stp>売買代金</stp>
        <tr r="BB63" s="1"/>
      </tp>
      <tp>
        <v>2454</v>
        <stp/>
        <stp>Market</stp>
        <stp>FOP</stp>
        <stp>131236018</stp>
        <stp>売買代金</stp>
        <tr r="BV32" s="1"/>
      </tp>
      <tp>
        <v>1865</v>
        <stp/>
        <stp>Market</stp>
        <stp>FOP</stp>
        <stp>141230518</stp>
        <stp>売買代金</stp>
        <tr r="BB61" s="1"/>
      </tp>
      <tp>
        <v>527</v>
        <stp/>
        <stp>Market</stp>
        <stp>FOP</stp>
        <stp>131237018</stp>
        <stp>売買代金</stp>
        <tr r="BV34" s="1"/>
      </tp>
      <tp>
        <v>1490</v>
        <stp/>
        <stp>Market</stp>
        <stp>FOP</stp>
        <stp>131234518</stp>
        <stp>売買代金</stp>
        <tr r="BV49" s="1"/>
      </tp>
      <tp>
        <v>1487</v>
        <stp/>
        <stp>Market</stp>
        <stp>FOP</stp>
        <stp>141233518</stp>
        <stp>売買代金</stp>
        <tr r="BB67" s="1"/>
      </tp>
      <tp>
        <v>3780</v>
        <stp/>
        <stp>Market</stp>
        <stp>FOP</stp>
        <stp>131234018</stp>
        <stp>売買代金</stp>
        <tr r="BV48" s="1"/>
      </tp>
      <tp>
        <v>0</v>
        <stp/>
        <stp>Market</stp>
        <stp>FOP</stp>
        <stp>131235518</stp>
        <stp>売買代金</stp>
        <tr r="BV51" s="1"/>
      </tp>
      <tp>
        <v>9760</v>
        <stp/>
        <stp>Market</stp>
        <stp>FOP</stp>
        <stp>131235018</stp>
        <stp>売買代金</stp>
        <tr r="BV50" s="1"/>
      </tp>
      <tp>
        <v>0</v>
        <stp/>
        <stp>Market</stp>
        <stp>FOP</stp>
        <stp>131238518</stp>
        <stp>売買代金</stp>
        <tr r="BV57" s="1"/>
      </tp>
      <tp>
        <v>46</v>
        <stp/>
        <stp>Market</stp>
        <stp>FOP</stp>
        <stp>191232518</stp>
        <stp>売買代金</stp>
        <tr r="BB85" s="1"/>
      </tp>
      <tp>
        <v>7166</v>
        <stp/>
        <stp>Market</stp>
        <stp>FOP</stp>
        <stp>131238018</stp>
        <stp>売買代金</stp>
        <tr r="BV36" s="1"/>
      </tp>
      <tp>
        <v>0</v>
        <stp/>
        <stp>Market</stp>
        <stp>FOP</stp>
        <stp>131239518</stp>
        <stp>売買代金</stp>
        <tr r="BV59" s="1"/>
      </tp>
      <tp>
        <v>2197</v>
        <stp/>
        <stp>Market</stp>
        <stp>FOP</stp>
        <stp>131239018</stp>
        <stp>売買代金</stp>
        <tr r="BV38" s="1"/>
      </tp>
      <tp>
        <v>0</v>
        <stp/>
        <stp>Market</stp>
        <stp>FOP</stp>
        <stp>141239518</stp>
        <stp>売買代金</stp>
        <tr r="BB59" s="1"/>
      </tp>
      <tp>
        <v>0</v>
        <stp/>
        <stp>Market</stp>
        <stp>FOP</stp>
        <stp>191234518</stp>
        <stp>売買代金</stp>
        <tr r="BB69" s="1"/>
      </tp>
      <tp>
        <v>0</v>
        <stp/>
        <stp>Market</stp>
        <stp>FOP</stp>
        <stp>141238518</stp>
        <stp>売買代金</stp>
        <tr r="BB57" s="1"/>
      </tp>
      <tp>
        <v>775</v>
        <stp/>
        <stp>Market</stp>
        <stp>FOP</stp>
        <stp>191235518</stp>
        <stp>売買代金</stp>
        <tr r="BB71" s="1"/>
      </tp>
      <tp>
        <v>0</v>
        <stp/>
        <stp>Market</stp>
        <stp>FOP</stp>
        <stp>181237518</stp>
        <stp>売買代金</stp>
        <tr r="BV55" s="1"/>
      </tp>
      <tp>
        <v>0</v>
        <stp/>
        <stp>Market</stp>
        <stp>FOP</stp>
        <stp>191236518</stp>
        <stp>売買代金</stp>
        <tr r="BB73" s="1"/>
      </tp>
      <tp>
        <v>0</v>
        <stp/>
        <stp>Market</stp>
        <stp>FOP</stp>
        <stp>191236018</stp>
        <stp>売買代金</stp>
        <tr r="BB52" s="1"/>
      </tp>
      <tp>
        <v>0</v>
        <stp/>
        <stp>Market</stp>
        <stp>FOP</stp>
        <stp>191237518</stp>
        <stp>売買代金</stp>
        <tr r="BB55" s="1"/>
      </tp>
      <tp>
        <v>4375</v>
        <stp/>
        <stp>Market</stp>
        <stp>FOP</stp>
        <stp>181236018</stp>
        <stp>売買代金</stp>
        <tr r="BV52" s="1"/>
      </tp>
    </main>
    <main first="rtdsrv.48cf1ad348244608b72d359ebfbe4e5c">
      <tp>
        <v>0</v>
        <stp/>
        <stp>Market</stp>
        <stp>FOP</stp>
        <stp>181369518</stp>
        <stp>売買代金</stp>
        <tr r="BV149" s="1"/>
      </tp>
      <tp>
        <v>0</v>
        <stp/>
        <stp>Market</stp>
        <stp>FOP</stp>
        <stp>191368518</stp>
        <stp>売買代金</stp>
        <tr r="BB147" s="1"/>
      </tp>
      <tp>
        <v>0</v>
        <stp/>
        <stp>Market</stp>
        <stp>FOP</stp>
        <stp>131362018</stp>
        <stp>売買代金</stp>
        <tr r="BV134" s="1"/>
      </tp>
      <tp>
        <v>0</v>
        <stp/>
        <stp>Market</stp>
        <stp>FOP</stp>
        <stp>181369018</stp>
        <stp>売買代金</stp>
        <tr r="BV148" s="1"/>
      </tp>
      <tp>
        <v>0</v>
        <stp/>
        <stp>Market</stp>
        <stp>FOP</stp>
        <stp>191368018</stp>
        <stp>売買代金</stp>
        <tr r="BB146" s="1"/>
      </tp>
      <tp>
        <v>0</v>
        <stp/>
        <stp>Market</stp>
        <stp>FOP</stp>
        <stp>131363518</stp>
        <stp>売買代金</stp>
        <tr r="BV117" s="1"/>
      </tp>
      <tp>
        <v>0</v>
        <stp/>
        <stp>Market</stp>
        <stp>FOP</stp>
        <stp>181368518</stp>
        <stp>売買代金</stp>
        <tr r="BV147" s="1"/>
      </tp>
      <tp>
        <v>0</v>
        <stp/>
        <stp>Market</stp>
        <stp>FOP</stp>
        <stp>191369518</stp>
        <stp>売買代金</stp>
        <tr r="BB149" s="1"/>
      </tp>
      <tp>
        <v>0</v>
        <stp/>
        <stp>Market</stp>
        <stp>FOP</stp>
        <stp>131363018</stp>
        <stp>売買代金</stp>
        <tr r="BV116" s="1"/>
      </tp>
      <tp>
        <v>0</v>
        <stp/>
        <stp>Market</stp>
        <stp>FOP</stp>
        <stp>181368018</stp>
        <stp>売買代金</stp>
        <tr r="BV146" s="1"/>
      </tp>
      <tp>
        <v>0</v>
        <stp/>
        <stp>Market</stp>
        <stp>FOP</stp>
        <stp>191369018</stp>
        <stp>売買代金</stp>
        <tr r="BB148" s="1"/>
      </tp>
      <tp>
        <v>0</v>
        <stp/>
        <stp>Market</stp>
        <stp>FOP</stp>
        <stp>131360518</stp>
        <stp>売買代金</stp>
        <tr r="BV131" s="1"/>
      </tp>
      <tp>
        <v>0</v>
        <stp/>
        <stp>Market</stp>
        <stp>FOP</stp>
        <stp>131360018</stp>
        <stp>売買代金</stp>
        <tr r="BV130" s="1"/>
      </tp>
      <tp>
        <v>0</v>
        <stp/>
        <stp>Market</stp>
        <stp>FOP</stp>
        <stp>131361518</stp>
        <stp>売買代金</stp>
        <tr r="BV133" s="1"/>
      </tp>
      <tp>
        <v>0</v>
        <stp/>
        <stp>Market</stp>
        <stp>FOP</stp>
        <stp>131361018</stp>
        <stp>売買代金</stp>
        <tr r="BV132" s="1"/>
      </tp>
      <tp>
        <v>0</v>
        <stp/>
        <stp>Market</stp>
        <stp>FOP</stp>
        <stp>131366518</stp>
        <stp>売買代金</stp>
        <tr r="BV123" s="1"/>
      </tp>
      <tp>
        <v>0</v>
        <stp/>
        <stp>Market</stp>
        <stp>FOP</stp>
        <stp>131366018</stp>
        <stp>売買代金</stp>
        <tr r="BV122" s="1"/>
      </tp>
      <tp>
        <v>0</v>
        <stp/>
        <stp>Market</stp>
        <stp>FOP</stp>
        <stp>131367518</stp>
        <stp>売買代金</stp>
        <tr r="BV125" s="1"/>
      </tp>
      <tp>
        <v>0</v>
        <stp/>
        <stp>Market</stp>
        <stp>FOP</stp>
        <stp>131367018</stp>
        <stp>売買代金</stp>
        <tr r="BV124" s="1"/>
      </tp>
      <tp>
        <v>0</v>
        <stp/>
        <stp>Market</stp>
        <stp>FOP</stp>
        <stp>131364518</stp>
        <stp>売買代金</stp>
        <tr r="BV119" s="1"/>
      </tp>
      <tp>
        <v>0</v>
        <stp/>
        <stp>Market</stp>
        <stp>FOP</stp>
        <stp>131364018</stp>
        <stp>売買代金</stp>
        <tr r="BV118" s="1"/>
      </tp>
      <tp>
        <v>0</v>
        <stp/>
        <stp>Market</stp>
        <stp>FOP</stp>
        <stp>131365518</stp>
        <stp>売買代金</stp>
        <tr r="BV121" s="1"/>
      </tp>
      <tp>
        <v>0</v>
        <stp/>
        <stp>Market</stp>
        <stp>FOP</stp>
        <stp>131365018</stp>
        <stp>売買代金</stp>
        <tr r="BV120" s="1"/>
      </tp>
      <tp>
        <v>0</v>
        <stp/>
        <stp>Market</stp>
        <stp>FOP</stp>
        <stp>191360518</stp>
        <stp>売買代金</stp>
        <tr r="BB151" s="1"/>
      </tp>
      <tp>
        <v>0</v>
        <stp/>
        <stp>Market</stp>
        <stp>FOP</stp>
        <stp>181361018</stp>
        <stp>売買代金</stp>
        <tr r="BV152" s="1"/>
      </tp>
      <tp>
        <v>0</v>
        <stp/>
        <stp>Market</stp>
        <stp>FOP</stp>
        <stp>191360018</stp>
        <stp>売買代金</stp>
        <tr r="BB150" s="1"/>
      </tp>
      <tp>
        <v>0</v>
        <stp/>
        <stp>Market</stp>
        <stp>FOP</stp>
        <stp>181360518</stp>
        <stp>売買代金</stp>
        <tr r="BV151" s="1"/>
      </tp>
      <tp>
        <v>0</v>
        <stp/>
        <stp>Market</stp>
        <stp>FOP</stp>
        <stp>191361518</stp>
        <stp>売買代金</stp>
        <tr r="BB153" s="1"/>
      </tp>
      <tp>
        <v>0</v>
        <stp/>
        <stp>Market</stp>
        <stp>FOP</stp>
        <stp>181360018</stp>
        <stp>売買代金</stp>
        <tr r="BV150" s="1"/>
      </tp>
      <tp>
        <v>0</v>
        <stp/>
        <stp>Market</stp>
        <stp>FOP</stp>
        <stp>191361018</stp>
        <stp>売買代金</stp>
        <tr r="BB152" s="1"/>
      </tp>
      <tp>
        <v>0</v>
        <stp/>
        <stp>Market</stp>
        <stp>FOP</stp>
        <stp>131368518</stp>
        <stp>売買代金</stp>
        <tr r="BV127" s="1"/>
      </tp>
      <tp>
        <v>0</v>
        <stp/>
        <stp>Market</stp>
        <stp>FOP</stp>
        <stp>181363518</stp>
        <stp>売買代金</stp>
        <tr r="BV137" s="1"/>
      </tp>
      <tp>
        <v>0</v>
        <stp/>
        <stp>Market</stp>
        <stp>FOP</stp>
        <stp>131368018</stp>
        <stp>売買代金</stp>
        <tr r="BV126" s="1"/>
      </tp>
      <tp>
        <v>0</v>
        <stp/>
        <stp>Market</stp>
        <stp>FOP</stp>
        <stp>181363018</stp>
        <stp>売買代金</stp>
        <tr r="BV136" s="1"/>
      </tp>
      <tp>
        <v>0</v>
        <stp/>
        <stp>Market</stp>
        <stp>FOP</stp>
        <stp>191362018</stp>
        <stp>売買代金</stp>
        <tr r="BB154" s="1"/>
      </tp>
      <tp>
        <v>0</v>
        <stp/>
        <stp>Market</stp>
        <stp>FOP</stp>
        <stp>131369518</stp>
        <stp>売買代金</stp>
        <tr r="BV129" s="1"/>
      </tp>
      <tp>
        <v>0</v>
        <stp/>
        <stp>Market</stp>
        <stp>FOP</stp>
        <stp>181362518</stp>
        <stp>売買代金</stp>
        <tr r="BV115" s="1"/>
      </tp>
      <tp>
        <v>490</v>
        <stp/>
        <stp>Market</stp>
        <stp>FOP</stp>
        <stp>131369018</stp>
        <stp>売買代金</stp>
        <tr r="BV128" s="1"/>
      </tp>
      <tp>
        <v>0</v>
        <stp/>
        <stp>Market</stp>
        <stp>FOP</stp>
        <stp>181365518</stp>
        <stp>売買代金</stp>
        <tr r="BV141" s="1"/>
      </tp>
      <tp>
        <v>0</v>
        <stp/>
        <stp>Market</stp>
        <stp>FOP</stp>
        <stp>181365018</stp>
        <stp>売買代金</stp>
        <tr r="BV140" s="1"/>
      </tp>
      <tp>
        <v>0</v>
        <stp/>
        <stp>Market</stp>
        <stp>FOP</stp>
        <stp>181364518</stp>
        <stp>売買代金</stp>
        <tr r="BV139" s="1"/>
      </tp>
      <tp>
        <v>0</v>
        <stp/>
        <stp>Market</stp>
        <stp>FOP</stp>
        <stp>191365518</stp>
        <stp>売買代金</stp>
        <tr r="BB141" s="1"/>
      </tp>
      <tp>
        <v>0</v>
        <stp/>
        <stp>Market</stp>
        <stp>FOP</stp>
        <stp>181364018</stp>
        <stp>売買代金</stp>
        <tr r="BV138" s="1"/>
      </tp>
      <tp>
        <v>0</v>
        <stp/>
        <stp>Market</stp>
        <stp>FOP</stp>
        <stp>191365018</stp>
        <stp>売買代金</stp>
        <tr r="BB140" s="1"/>
      </tp>
      <tp>
        <v>0</v>
        <stp/>
        <stp>Market</stp>
        <stp>FOP</stp>
        <stp>191366518</stp>
        <stp>売買代金</stp>
        <tr r="BB143" s="1"/>
      </tp>
      <tp>
        <v>0</v>
        <stp/>
        <stp>Market</stp>
        <stp>FOP</stp>
        <stp>181367018</stp>
        <stp>売買代金</stp>
        <tr r="BV144" s="1"/>
      </tp>
      <tp>
        <v>0</v>
        <stp/>
        <stp>Market</stp>
        <stp>FOP</stp>
        <stp>191366018</stp>
        <stp>売買代金</stp>
        <tr r="BB142" s="1"/>
      </tp>
      <tp>
        <v>0</v>
        <stp/>
        <stp>Market</stp>
        <stp>FOP</stp>
        <stp>181366518</stp>
        <stp>売買代金</stp>
        <tr r="BV143" s="1"/>
      </tp>
      <tp>
        <v>0</v>
        <stp/>
        <stp>Market</stp>
        <stp>FOP</stp>
        <stp>191367518</stp>
        <stp>売買代金</stp>
        <tr r="BB165" s="1"/>
      </tp>
      <tp>
        <v>0</v>
        <stp/>
        <stp>Market</stp>
        <stp>FOP</stp>
        <stp>181366018</stp>
        <stp>売買代金</stp>
        <tr r="BV142" s="1"/>
      </tp>
      <tp>
        <v>0</v>
        <stp/>
        <stp>Market</stp>
        <stp>FOP</stp>
        <stp>191367018</stp>
        <stp>売買代金</stp>
        <tr r="BB144" s="1"/>
      </tp>
      <tp>
        <v>700</v>
        <stp/>
        <stp>Market</stp>
        <stp>FOP</stp>
        <stp>191358018</stp>
        <stp>売買代金</stp>
        <tr r="BB76" s="1"/>
      </tp>
      <tp>
        <v>2331</v>
        <stp/>
        <stp>Market</stp>
        <stp>FOP</stp>
        <stp>141354018</stp>
        <stp>売買代金</stp>
        <tr r="BB68" s="1"/>
      </tp>
      <tp>
        <v>406</v>
        <stp/>
        <stp>Market</stp>
        <stp>FOP</stp>
        <stp>191359018</stp>
        <stp>売買代金</stp>
        <tr r="BB78" s="1"/>
      </tp>
      <tp>
        <v>5</v>
        <stp/>
        <stp>Market</stp>
        <stp>FOP</stp>
        <stp>141357518</stp>
        <stp>売買代金</stp>
        <tr r="BB95" s="1"/>
      </tp>
      <tp>
        <v>0</v>
        <stp/>
        <stp>Market</stp>
        <stp>FOP</stp>
        <stp>131350018</stp>
        <stp>売買代金</stp>
        <tr r="BV60" s="1"/>
      </tp>
      <tp>
        <v>0</v>
        <stp/>
        <stp>Market</stp>
        <stp>FOP</stp>
        <stp>141357018</stp>
        <stp>売買代金</stp>
        <tr r="BB54" s="1"/>
      </tp>
      <tp>
        <v>0</v>
        <stp/>
        <stp>Market</stp>
        <stp>FOP</stp>
        <stp>131351018</stp>
        <stp>売買代金</stp>
        <tr r="BV62" s="1"/>
      </tp>
      <tp>
        <v>2425</v>
        <stp/>
        <stp>Market</stp>
        <stp>FOP</stp>
        <stp>141351018</stp>
        <stp>売買代金</stp>
        <tr r="BB62" s="1"/>
      </tp>
      <tp>
        <v>44840</v>
        <stp/>
        <stp>Market</stp>
        <stp>FOP</stp>
        <stp>131357018</stp>
        <stp>売買代金</stp>
        <tr r="BV54" s="1"/>
      </tp>
      <tp>
        <v>14035</v>
        <stp/>
        <stp>Market</stp>
        <stp>FOP</stp>
        <stp>141350018</stp>
        <stp>売買代金</stp>
        <tr r="BB60" s="1"/>
      </tp>
      <tp>
        <v>3275</v>
        <stp/>
        <stp>Market</stp>
        <stp>FOP</stp>
        <stp>141353018</stp>
        <stp>売買代金</stp>
        <tr r="BB66" s="1"/>
      </tp>
      <tp>
        <v>2140</v>
        <stp/>
        <stp>Market</stp>
        <stp>FOP</stp>
        <stp>141352018</stp>
        <stp>売買代金</stp>
        <tr r="BB64" s="1"/>
      </tp>
      <tp>
        <v>787</v>
        <stp/>
        <stp>Market</stp>
        <stp>FOP</stp>
        <stp>191350018</stp>
        <stp>売買代金</stp>
        <tr r="BB80" s="1"/>
      </tp>
      <tp>
        <v>33820</v>
        <stp/>
        <stp>Market</stp>
        <stp>FOP</stp>
        <stp>131358018</stp>
        <stp>売買代金</stp>
        <tr r="BV56" s="1"/>
      </tp>
      <tp>
        <v>2360</v>
        <stp/>
        <stp>Market</stp>
        <stp>FOP</stp>
        <stp>131359018</stp>
        <stp>売買代金</stp>
        <tr r="BV58" s="1"/>
      </tp>
      <tp>
        <v>1410</v>
        <stp/>
        <stp>Market</stp>
        <stp>FOP</stp>
        <stp>141359018</stp>
        <stp>売買代金</stp>
        <tr r="BB58" s="1"/>
      </tp>
      <tp>
        <v>20290</v>
        <stp/>
        <stp>Market</stp>
        <stp>FOP</stp>
        <stp>141358018</stp>
        <stp>売買代金</stp>
        <tr r="BB56" s="1"/>
      </tp>
      <tp>
        <v>4675</v>
        <stp/>
        <stp>Market</stp>
        <stp>FOP</stp>
        <stp>191355018</stp>
        <stp>売買代金</stp>
        <tr r="BB70" s="1"/>
      </tp>
      <tp>
        <v>924</v>
        <stp/>
        <stp>Market</stp>
        <stp>FOP</stp>
        <stp>191356018</stp>
        <stp>売買代金</stp>
        <tr r="BB72" s="1"/>
      </tp>
      <tp>
        <v>726</v>
        <stp/>
        <stp>Market</stp>
        <stp>FOP</stp>
        <stp>191357018</stp>
        <stp>売買代金</stp>
        <tr r="BB74" s="1"/>
      </tp>
      <tp>
        <v>313039399</v>
        <stp/>
        <stp>Market</stp>
        <stp>FOP</stp>
        <stp>161120019</stp>
        <stp>売買代金</stp>
        <tr r="BB11" s="1"/>
      </tp>
      <tp>
        <v>8670976</v>
        <stp/>
        <stp>Market</stp>
        <stp>FOP</stp>
        <stp>161110019</stp>
        <stp>売買代金</stp>
        <tr r="BB10" s="1"/>
      </tp>
      <tp>
        <v>0</v>
        <stp/>
        <stp>Market</stp>
        <stp>FOP</stp>
        <stp>131112518</stp>
        <stp>売買代金</stp>
        <tr r="BV25" s="1"/>
      </tp>
      <tp>
        <v>0</v>
        <stp/>
        <stp>Market</stp>
        <stp>FOP</stp>
        <stp>181119518</stp>
        <stp>売買代金</stp>
        <tr r="BV39" s="1"/>
      </tp>
      <tp>
        <v>193</v>
        <stp/>
        <stp>Market</stp>
        <stp>FOP</stp>
        <stp>181119018</stp>
        <stp>売買代金</stp>
        <tr r="BV18" s="1"/>
      </tp>
      <tp>
        <v>0</v>
        <stp/>
        <stp>Market</stp>
        <stp>FOP</stp>
        <stp>131113518</stp>
        <stp>売買代金</stp>
        <tr r="BV27" s="1"/>
      </tp>
      <tp>
        <v>353</v>
        <stp/>
        <stp>Market</stp>
        <stp>FOP</stp>
        <stp>181118518</stp>
        <stp>売買代金</stp>
        <tr r="BV37" s="1"/>
      </tp>
      <tp>
        <v>196</v>
        <stp/>
        <stp>Market</stp>
        <stp>FOP</stp>
        <stp>181118018</stp>
        <stp>売買代金</stp>
        <tr r="BV16" s="1"/>
      </tp>
      <tp>
        <v>0</v>
        <stp/>
        <stp>Market</stp>
        <stp>FOP</stp>
        <stp>131110518</stp>
        <stp>売買代金</stp>
        <tr r="BV21" s="1"/>
      </tp>
      <tp>
        <v>0</v>
        <stp/>
        <stp>Market</stp>
        <stp>FOP</stp>
        <stp>131111518</stp>
        <stp>売買代金</stp>
        <tr r="BV23" s="1"/>
      </tp>
      <tp>
        <v>0</v>
        <stp/>
        <stp>Market</stp>
        <stp>FOP</stp>
        <stp>131116518</stp>
        <stp>売買代金</stp>
        <tr r="BV13" s="1"/>
      </tp>
      <tp>
        <v>0</v>
        <stp/>
        <stp>Market</stp>
        <stp>FOP</stp>
        <stp>131117518</stp>
        <stp>売買代金</stp>
        <tr r="BV15" s="1"/>
      </tp>
      <tp>
        <v>87</v>
        <stp/>
        <stp>Market</stp>
        <stp>FOP</stp>
        <stp>131114518</stp>
        <stp>売買代金</stp>
        <tr r="BV29" s="1"/>
      </tp>
      <tp>
        <v>0</v>
        <stp/>
        <stp>Market</stp>
        <stp>FOP</stp>
        <stp>181111518</stp>
        <stp>売買代金</stp>
        <tr r="BV43" s="1"/>
      </tp>
      <tp>
        <v>155</v>
        <stp/>
        <stp>Market</stp>
        <stp>FOP</stp>
        <stp>181111018</stp>
        <stp>売買代金</stp>
        <tr r="BV22" s="1"/>
      </tp>
      <tp>
        <v>0</v>
        <stp/>
        <stp>Market</stp>
        <stp>FOP</stp>
        <stp>181110518</stp>
        <stp>売買代金</stp>
        <tr r="BV41" s="1"/>
      </tp>
      <tp>
        <v>1168</v>
        <stp/>
        <stp>Market</stp>
        <stp>FOP</stp>
        <stp>181110018</stp>
        <stp>売買代金</stp>
        <tr r="BV20" s="1"/>
      </tp>
      <tp>
        <v>0</v>
        <stp/>
        <stp>Market</stp>
        <stp>FOP</stp>
        <stp>131118518</stp>
        <stp>売買代金</stp>
        <tr r="BV17" s="1"/>
      </tp>
      <tp>
        <v>0</v>
        <stp/>
        <stp>Market</stp>
        <stp>FOP</stp>
        <stp>181113518</stp>
        <stp>売買代金</stp>
        <tr r="BV47" s="1"/>
      </tp>
      <tp>
        <v>415</v>
        <stp/>
        <stp>Market</stp>
        <stp>FOP</stp>
        <stp>191112518</stp>
        <stp>売買代金</stp>
        <tr r="BB65" s="1"/>
      </tp>
      <tp>
        <v>133</v>
        <stp/>
        <stp>Market</stp>
        <stp>FOP</stp>
        <stp>181113018</stp>
        <stp>売買代金</stp>
        <tr r="BV26" s="1"/>
      </tp>
      <tp>
        <v>0</v>
        <stp/>
        <stp>Market</stp>
        <stp>FOP</stp>
        <stp>131119518</stp>
        <stp>売買代金</stp>
        <tr r="BV19" s="1"/>
      </tp>
      <tp>
        <v>934</v>
        <stp/>
        <stp>Market</stp>
        <stp>FOP</stp>
        <stp>181112018</stp>
        <stp>売買代金</stp>
        <tr r="BV24" s="1"/>
      </tp>
      <tp>
        <v>0</v>
        <stp/>
        <stp>Market</stp>
        <stp>FOP</stp>
        <stp>181115518</stp>
        <stp>売買代金</stp>
        <tr r="BV31" s="1"/>
      </tp>
      <tp>
        <v>1116</v>
        <stp/>
        <stp>Market</stp>
        <stp>FOP</stp>
        <stp>181115018</stp>
        <stp>売買代金</stp>
        <tr r="BV30" s="1"/>
      </tp>
      <tp>
        <v>490</v>
        <stp/>
        <stp>Market</stp>
        <stp>FOP</stp>
        <stp>181114018</stp>
        <stp>売買代金</stp>
        <tr r="BV28" s="1"/>
      </tp>
      <tp>
        <v>0</v>
        <stp/>
        <stp>Market</stp>
        <stp>FOP</stp>
        <stp>181117518</stp>
        <stp>売買代金</stp>
        <tr r="BV35" s="1"/>
      </tp>
      <tp>
        <v>0</v>
        <stp/>
        <stp>Market</stp>
        <stp>FOP</stp>
        <stp>181117018</stp>
        <stp>売買代金</stp>
        <tr r="BV14" s="1"/>
      </tp>
      <tp>
        <v>0</v>
        <stp/>
        <stp>Market</stp>
        <stp>FOP</stp>
        <stp>181116518</stp>
        <stp>売買代金</stp>
        <tr r="BV33" s="1"/>
      </tp>
      <tp>
        <v>0</v>
        <stp/>
        <stp>Market</stp>
        <stp>FOP</stp>
        <stp>181116018</stp>
        <stp>売買代金</stp>
        <tr r="BV12" s="1"/>
      </tp>
      <tp t="s">
        <v>NVI</v>
        <stp/>
        <stp>Market</stp>
        <stp>INDEX</stp>
        <stp>NVI</stp>
        <stp>指標コード</stp>
        <tr r="AN8" s="1"/>
      </tp>
    </main>
    <main first="rtdsrv.48cf1ad348244608b72d359ebfbe4e5c">
      <tp t="s">
        <v>VIX</v>
        <stp/>
        <stp>Market</stp>
        <stp>INDEX</stp>
        <stp>VIX</stp>
        <stp>指標コード</stp>
        <tr r="AN9" s="1"/>
      </tp>
    </main>
    <main first="rtdsrv.48cf1ad348244608b72d359ebfbe4e5c">
      <tp>
        <v>32</v>
        <stp/>
        <stp>Market</stp>
        <stp>FOP</stp>
        <stp>131117518</stp>
        <stp>最良売気配数量1</stp>
        <tr r="BQ15" s="1"/>
      </tp>
      <tp>
        <v>32</v>
        <stp/>
        <stp>Market</stp>
        <stp>FOP</stp>
        <stp>131116518</stp>
        <stp>最良売気配数量1</stp>
        <tr r="BQ13" s="1"/>
      </tp>
      <tp>
        <v>31</v>
        <stp/>
        <stp>Market</stp>
        <stp>FOP</stp>
        <stp>131114518</stp>
        <stp>最良売気配数量1</stp>
        <tr r="BQ29" s="1"/>
      </tp>
      <tp>
        <v>39</v>
        <stp/>
        <stp>Market</stp>
        <stp>FOP</stp>
        <stp>181118018</stp>
        <stp>最良売気配数量1</stp>
        <tr r="BQ16" s="1"/>
      </tp>
      <tp>
        <v>8</v>
        <stp/>
        <stp>Market</stp>
        <stp>FOP</stp>
        <stp>131113518</stp>
        <stp>最良売気配数量1</stp>
        <tr r="BQ27" s="1"/>
      </tp>
      <tp>
        <v>8</v>
        <stp/>
        <stp>Market</stp>
        <stp>FOP</stp>
        <stp>181118518</stp>
        <stp>最良売気配数量1</stp>
        <tr r="BQ37" s="1"/>
      </tp>
      <tp>
        <v>39</v>
        <stp/>
        <stp>Market</stp>
        <stp>FOP</stp>
        <stp>181119018</stp>
        <stp>最良売気配数量1</stp>
        <tr r="BQ18" s="1"/>
      </tp>
      <tp>
        <v>8</v>
        <stp/>
        <stp>Market</stp>
        <stp>FOP</stp>
        <stp>131112518</stp>
        <stp>最良売気配数量1</stp>
        <tr r="BQ25" s="1"/>
      </tp>
      <tp>
        <v>25</v>
        <stp/>
        <stp>Market</stp>
        <stp>FOP</stp>
        <stp>181119518</stp>
        <stp>最良売気配数量1</stp>
        <tr r="BQ39" s="1"/>
      </tp>
      <tp>
        <v>31</v>
        <stp/>
        <stp>Market</stp>
        <stp>FOP</stp>
        <stp>131111518</stp>
        <stp>最良売気配数量1</stp>
        <tr r="BQ23" s="1"/>
      </tp>
      <tp>
        <v>31</v>
        <stp/>
        <stp>Market</stp>
        <stp>FOP</stp>
        <stp>131110518</stp>
        <stp>最良売気配数量1</stp>
        <tr r="BQ21" s="1"/>
      </tp>
      <tp>
        <v>12</v>
        <stp/>
        <stp>Market</stp>
        <stp>FOP</stp>
        <stp>181114018</stp>
        <stp>最良売気配数量1</stp>
        <tr r="BQ28" s="1"/>
      </tp>
      <tp>
        <v>12</v>
        <stp/>
        <stp>Market</stp>
        <stp>FOP</stp>
        <stp>181115018</stp>
        <stp>最良売気配数量1</stp>
        <tr r="BQ30" s="1"/>
      </tp>
      <tp>
        <v>8</v>
        <stp/>
        <stp>Market</stp>
        <stp>FOP</stp>
        <stp>181115518</stp>
        <stp>最良売気配数量1</stp>
        <tr r="BQ31" s="1"/>
      </tp>
      <tp>
        <v>39</v>
        <stp/>
        <stp>Market</stp>
        <stp>FOP</stp>
        <stp>181116018</stp>
        <stp>最良売気配数量1</stp>
        <tr r="BQ12" s="1"/>
      </tp>
      <tp>
        <v>8</v>
        <stp/>
        <stp>Market</stp>
        <stp>FOP</stp>
        <stp>181116518</stp>
        <stp>最良売気配数量1</stp>
        <tr r="BQ33" s="1"/>
      </tp>
      <tp>
        <v>12</v>
        <stp/>
        <stp>Market</stp>
        <stp>FOP</stp>
        <stp>181117018</stp>
        <stp>最良売気配数量1</stp>
        <tr r="BQ14" s="1"/>
      </tp>
      <tp>
        <v>29</v>
        <stp/>
        <stp>Market</stp>
        <stp>FOP</stp>
        <stp>181117518</stp>
        <stp>最良売気配数量1</stp>
        <tr r="BQ35" s="1"/>
      </tp>
      <tp>
        <v>44</v>
        <stp/>
        <stp>Market</stp>
        <stp>FOP</stp>
        <stp>181110018</stp>
        <stp>最良売気配数量1</stp>
        <tr r="BQ20" s="1"/>
      </tp>
      <tp>
        <v>6</v>
        <stp/>
        <stp>Market</stp>
        <stp>FOP</stp>
        <stp>181110518</stp>
        <stp>最良売気配数量1</stp>
        <tr r="BQ41" s="1"/>
      </tp>
      <tp>
        <v>12</v>
        <stp/>
        <stp>Market</stp>
        <stp>FOP</stp>
        <stp>181111018</stp>
        <stp>最良売気配数量1</stp>
        <tr r="BQ22" s="1"/>
      </tp>
      <tp>
        <v>14</v>
        <stp/>
        <stp>Market</stp>
        <stp>FOP</stp>
        <stp>181111518</stp>
        <stp>最良売気配数量1</stp>
        <tr r="BQ43" s="1"/>
      </tp>
      <tp>
        <v>12</v>
        <stp/>
        <stp>Market</stp>
        <stp>FOP</stp>
        <stp>181112018</stp>
        <stp>最良売気配数量1</stp>
        <tr r="BQ24" s="1"/>
      </tp>
      <tp>
        <v>10</v>
        <stp/>
        <stp>Market</stp>
        <stp>FOP</stp>
        <stp>131119518</stp>
        <stp>最良売気配数量1</stp>
        <tr r="BQ19" s="1"/>
      </tp>
      <tp>
        <v>44</v>
        <stp/>
        <stp>Market</stp>
        <stp>FOP</stp>
        <stp>181113018</stp>
        <stp>最良売気配数量1</stp>
        <tr r="BQ26" s="1"/>
      </tp>
      <tp>
        <v>32</v>
        <stp/>
        <stp>Market</stp>
        <stp>FOP</stp>
        <stp>131118518</stp>
        <stp>最良売気配数量1</stp>
        <tr r="BQ17" s="1"/>
      </tp>
      <tp>
        <v>4</v>
        <stp/>
        <stp>Market</stp>
        <stp>FOP</stp>
        <stp>181113518</stp>
        <stp>最良売気配数量1</stp>
        <tr r="BQ47" s="1"/>
      </tp>
      <tp>
        <v>4</v>
        <stp/>
        <stp>Market</stp>
        <stp>FOP</stp>
        <stp>191112518</stp>
        <stp>最良売気配数量1</stp>
        <tr r="AW65" s="1"/>
      </tp>
      <tp>
        <v>2</v>
        <stp/>
        <stp>Market</stp>
        <stp>FOP</stp>
        <stp>161110019</stp>
        <stp>最良売気配数量1</stp>
        <tr r="AW10" s="1"/>
      </tp>
      <tp>
        <v>14</v>
        <stp/>
        <stp>Market</stp>
        <stp>FOP</stp>
        <stp>161120019</stp>
        <stp>最良売気配数量1</stp>
        <tr r="AW11" s="1"/>
      </tp>
    </main>
    <main first="rtdsrv.48cf1ad348244608b72d359ebfbe4e5c">
      <tp>
        <v>0</v>
        <stp/>
        <stp>Market</stp>
        <stp>FOP</stp>
        <stp>141470018</stp>
        <stp>現在値</stp>
        <tr r="AZ100" s="1"/>
      </tp>
      <tp>
        <v>2</v>
        <stp/>
        <stp>Market</stp>
        <stp>FOP</stp>
        <stp>141475018</stp>
        <stp>現在値</stp>
        <tr r="AZ90" s="1"/>
      </tp>
      <tp>
        <v>0</v>
        <stp/>
        <stp>Market</stp>
        <stp>FOP</stp>
        <stp>141488018</stp>
        <stp>現在値</stp>
        <tr r="AZ166" s="1"/>
      </tp>
      <tp>
        <v>24</v>
        <stp/>
        <stp>Market</stp>
        <stp>FOP</stp>
        <stp>191485018</stp>
        <stp>現在値</stp>
        <tr r="AZ180" s="1"/>
      </tp>
      <tp>
        <v>0</v>
        <stp/>
        <stp>Market</stp>
        <stp>FOP</stp>
        <stp>141489018</stp>
        <stp>現在値</stp>
        <tr r="AZ168" s="1"/>
      </tp>
      <tp>
        <v>0</v>
        <stp/>
        <stp>Market</stp>
        <stp>FOP</stp>
        <stp>191484018</stp>
        <stp>現在値</stp>
        <tr r="AZ178" s="1"/>
      </tp>
      <tp>
        <v>4</v>
        <stp/>
        <stp>Market</stp>
        <stp>FOP</stp>
        <stp>191480018</stp>
        <stp>現在値</stp>
        <tr r="AZ190" s="1"/>
      </tp>
      <tp>
        <v>47</v>
        <stp/>
        <stp>Market</stp>
        <stp>FOP</stp>
        <stp>191483018</stp>
        <stp>現在値</stp>
        <tr r="AZ176" s="1"/>
      </tp>
      <tp>
        <v>122</v>
        <stp/>
        <stp>Market</stp>
        <stp>FOP</stp>
        <stp>141480018</stp>
        <stp>現在値</stp>
        <tr r="AZ170" s="1"/>
      </tp>
      <tp>
        <v>0</v>
        <stp/>
        <stp>Market</stp>
        <stp>FOP</stp>
        <stp>141481018</stp>
        <stp>現在値</stp>
        <tr r="AZ172" s="1"/>
      </tp>
      <tp>
        <v>0</v>
        <stp/>
        <stp>Market</stp>
        <stp>FOP</stp>
        <stp>141482018</stp>
        <stp>現在値</stp>
        <tr r="AZ174" s="1"/>
      </tp>
      <tp>
        <v>0</v>
        <stp/>
        <stp>Market</stp>
        <stp>FOP</stp>
        <stp>141483018</stp>
        <stp>現在値</stp>
        <tr r="AZ156" s="1"/>
      </tp>
      <tp>
        <v>0</v>
        <stp/>
        <stp>Market</stp>
        <stp>FOP</stp>
        <stp>141484018</stp>
        <stp>現在値</stp>
        <tr r="AZ158" s="1"/>
      </tp>
      <tp>
        <v>0</v>
        <stp/>
        <stp>Market</stp>
        <stp>FOP</stp>
        <stp>141485018</stp>
        <stp>現在値</stp>
        <tr r="AZ160" s="1"/>
      </tp>
      <tp>
        <v>0</v>
        <stp/>
        <stp>Market</stp>
        <stp>FOP</stp>
        <stp>141486018</stp>
        <stp>現在値</stp>
        <tr r="AZ162" s="1"/>
      </tp>
      <tp>
        <v>290</v>
        <stp/>
        <stp>Market</stp>
        <stp>FOP</stp>
        <stp>141487018</stp>
        <stp>現在値</stp>
        <tr r="AZ164" s="1"/>
      </tp>
      <tp>
        <v>2030</v>
        <stp/>
        <stp>Market</stp>
        <stp>FOP</stp>
        <stp>141358018</stp>
        <stp>現在値</stp>
        <tr r="AZ56" s="1"/>
      </tp>
      <tp>
        <v>142</v>
        <stp/>
        <stp>Market</stp>
        <stp>FOP</stp>
        <stp>191355018</stp>
        <stp>現在値</stp>
        <tr r="AZ70" s="1"/>
      </tp>
      <tp>
        <v>1410</v>
        <stp/>
        <stp>Market</stp>
        <stp>FOP</stp>
        <stp>141359018</stp>
        <stp>現在値</stp>
        <tr r="AZ58" s="1"/>
      </tp>
      <tp>
        <v>59</v>
        <stp/>
        <stp>Market</stp>
        <stp>FOP</stp>
        <stp>191357018</stp>
        <stp>現在値</stp>
        <tr r="AZ74" s="1"/>
      </tp>
      <tp>
        <v>92</v>
        <stp/>
        <stp>Market</stp>
        <stp>FOP</stp>
        <stp>191356018</stp>
        <stp>現在値</stp>
        <tr r="AZ72" s="1"/>
      </tp>
      <tp>
        <v>14</v>
        <stp/>
        <stp>Market</stp>
        <stp>FOP</stp>
        <stp>191350018</stp>
        <stp>現在値</stp>
        <tr r="AZ80" s="1"/>
      </tp>
      <tp>
        <v>2360</v>
        <stp/>
        <stp>Market</stp>
        <stp>FOP</stp>
        <stp>131359018</stp>
        <stp>現在値</stp>
        <tr r="BT58" s="1"/>
      </tp>
      <tp>
        <v>1780</v>
        <stp/>
        <stp>Market</stp>
        <stp>FOP</stp>
        <stp>131358018</stp>
        <stp>現在値</stp>
        <tr r="BT56" s="1"/>
      </tp>
      <tp>
        <v>1455</v>
        <stp/>
        <stp>Market</stp>
        <stp>FOP</stp>
        <stp>131357018</stp>
        <stp>現在値</stp>
        <tr r="BT54" s="1"/>
      </tp>
      <tp>
        <v>1055</v>
        <stp/>
        <stp>Market</stp>
        <stp>FOP</stp>
        <stp>141350018</stp>
        <stp>現在値</stp>
        <tr r="AZ60" s="1"/>
      </tp>
      <tp>
        <v>795</v>
        <stp/>
        <stp>Market</stp>
        <stp>FOP</stp>
        <stp>141351018</stp>
        <stp>現在値</stp>
        <tr r="AZ62" s="1"/>
      </tp>
      <tp>
        <v>495</v>
        <stp/>
        <stp>Market</stp>
        <stp>FOP</stp>
        <stp>141352018</stp>
        <stp>現在値</stp>
        <tr r="AZ64" s="1"/>
      </tp>
      <tp>
        <v>325</v>
        <stp/>
        <stp>Market</stp>
        <stp>FOP</stp>
        <stp>141353018</stp>
        <stp>現在値</stp>
        <tr r="AZ66" s="1"/>
      </tp>
      <tp>
        <v>226</v>
        <stp/>
        <stp>Market</stp>
        <stp>FOP</stp>
        <stp>141354018</stp>
        <stp>現在値</stp>
        <tr r="AZ68" s="1"/>
      </tp>
      <tp>
        <v>23</v>
        <stp/>
        <stp>Market</stp>
        <stp>FOP</stp>
        <stp>191359018</stp>
        <stp>現在値</stp>
        <tr r="AZ78" s="1"/>
      </tp>
      <tp>
        <v>37</v>
        <stp/>
        <stp>Market</stp>
        <stp>FOP</stp>
        <stp>191358018</stp>
        <stp>現在値</stp>
        <tr r="AZ76" s="1"/>
      </tp>
      <tp>
        <v>0</v>
        <stp/>
        <stp>Market</stp>
        <stp>FOP</stp>
        <stp>131351018</stp>
        <stp>現在値</stp>
        <tr r="BT62" s="1"/>
      </tp>
      <tp>
        <v>0</v>
        <stp/>
        <stp>Market</stp>
        <stp>FOP</stp>
        <stp>131350018</stp>
        <stp>現在値</stp>
        <tr r="BT60" s="1"/>
      </tp>
      <tp>
        <v>0</v>
        <stp/>
        <stp>Market</stp>
        <stp>FOP</stp>
        <stp>141357018</stp>
        <stp>現在値</stp>
        <tr r="AZ54" s="1"/>
      </tp>
      <tp>
        <v>0</v>
        <stp/>
        <stp>Market</stp>
        <stp>FOP</stp>
        <stp>181364018</stp>
        <stp>現在値</stp>
        <tr r="BT138" s="1"/>
      </tp>
      <tp>
        <v>0</v>
        <stp/>
        <stp>Market</stp>
        <stp>FOP</stp>
        <stp>191365018</stp>
        <stp>現在値</stp>
        <tr r="AZ140" s="1"/>
      </tp>
      <tp>
        <v>0</v>
        <stp/>
        <stp>Market</stp>
        <stp>FOP</stp>
        <stp>181365018</stp>
        <stp>現在値</stp>
        <tr r="BT140" s="1"/>
      </tp>
      <tp>
        <v>0</v>
        <stp/>
        <stp>Market</stp>
        <stp>FOP</stp>
        <stp>181366018</stp>
        <stp>現在値</stp>
        <tr r="BT142" s="1"/>
      </tp>
      <tp>
        <v>0</v>
        <stp/>
        <stp>Market</stp>
        <stp>FOP</stp>
        <stp>191367018</stp>
        <stp>現在値</stp>
        <tr r="AZ144" s="1"/>
      </tp>
      <tp>
        <v>0</v>
        <stp/>
        <stp>Market</stp>
        <stp>FOP</stp>
        <stp>181367018</stp>
        <stp>現在値</stp>
        <tr r="BT144" s="1"/>
      </tp>
      <tp>
        <v>0</v>
        <stp/>
        <stp>Market</stp>
        <stp>FOP</stp>
        <stp>191366018</stp>
        <stp>現在値</stp>
        <tr r="AZ142" s="1"/>
      </tp>
      <tp>
        <v>0</v>
        <stp/>
        <stp>Market</stp>
        <stp>FOP</stp>
        <stp>181360018</stp>
        <stp>現在値</stp>
        <tr r="BT150" s="1"/>
      </tp>
      <tp>
        <v>0</v>
        <stp/>
        <stp>Market</stp>
        <stp>FOP</stp>
        <stp>191361018</stp>
        <stp>現在値</stp>
        <tr r="AZ152" s="1"/>
      </tp>
      <tp>
        <v>0</v>
        <stp/>
        <stp>Market</stp>
        <stp>FOP</stp>
        <stp>181361018</stp>
        <stp>現在値</stp>
        <tr r="BT152" s="1"/>
      </tp>
      <tp>
        <v>0</v>
        <stp/>
        <stp>Market</stp>
        <stp>FOP</stp>
        <stp>191360018</stp>
        <stp>現在値</stp>
        <tr r="AZ150" s="1"/>
      </tp>
      <tp>
        <v>490</v>
        <stp/>
        <stp>Market</stp>
        <stp>FOP</stp>
        <stp>131369018</stp>
        <stp>現在値</stp>
        <tr r="BT128" s="1"/>
      </tp>
      <tp>
        <v>0</v>
        <stp/>
        <stp>Market</stp>
        <stp>FOP</stp>
        <stp>131368018</stp>
        <stp>現在値</stp>
        <tr r="BT126" s="1"/>
      </tp>
      <tp>
        <v>0</v>
        <stp/>
        <stp>Market</stp>
        <stp>FOP</stp>
        <stp>181363018</stp>
        <stp>現在値</stp>
        <tr r="BT136" s="1"/>
      </tp>
      <tp>
        <v>0</v>
        <stp/>
        <stp>Market</stp>
        <stp>FOP</stp>
        <stp>191362018</stp>
        <stp>現在値</stp>
        <tr r="AZ154" s="1"/>
      </tp>
      <tp>
        <v>0</v>
        <stp/>
        <stp>Market</stp>
        <stp>FOP</stp>
        <stp>131367018</stp>
        <stp>現在値</stp>
        <tr r="BT124" s="1"/>
      </tp>
      <tp>
        <v>0</v>
        <stp/>
        <stp>Market</stp>
        <stp>FOP</stp>
        <stp>131366018</stp>
        <stp>現在値</stp>
        <tr r="BT122" s="1"/>
      </tp>
      <tp>
        <v>0</v>
        <stp/>
        <stp>Market</stp>
        <stp>FOP</stp>
        <stp>131365018</stp>
        <stp>現在値</stp>
        <tr r="BT120" s="1"/>
      </tp>
      <tp>
        <v>0</v>
        <stp/>
        <stp>Market</stp>
        <stp>FOP</stp>
        <stp>131364018</stp>
        <stp>現在値</stp>
        <tr r="BT118" s="1"/>
      </tp>
      <tp>
        <v>0</v>
        <stp/>
        <stp>Market</stp>
        <stp>FOP</stp>
        <stp>131363018</stp>
        <stp>現在値</stp>
        <tr r="BT116" s="1"/>
      </tp>
      <tp>
        <v>0</v>
        <stp/>
        <stp>Market</stp>
        <stp>FOP</stp>
        <stp>181368018</stp>
        <stp>現在値</stp>
        <tr r="BT146" s="1"/>
      </tp>
      <tp>
        <v>0</v>
        <stp/>
        <stp>Market</stp>
        <stp>FOP</stp>
        <stp>191369018</stp>
        <stp>現在値</stp>
        <tr r="AZ148" s="1"/>
      </tp>
      <tp>
        <v>0</v>
        <stp/>
        <stp>Market</stp>
        <stp>FOP</stp>
        <stp>131362018</stp>
        <stp>現在値</stp>
        <tr r="BT134" s="1"/>
      </tp>
      <tp>
        <v>0</v>
        <stp/>
        <stp>Market</stp>
        <stp>FOP</stp>
        <stp>181369018</stp>
        <stp>現在値</stp>
        <tr r="BT148" s="1"/>
      </tp>
      <tp>
        <v>0</v>
        <stp/>
        <stp>Market</stp>
        <stp>FOP</stp>
        <stp>191368018</stp>
        <stp>現在値</stp>
        <tr r="AZ146" s="1"/>
      </tp>
      <tp>
        <v>0</v>
        <stp/>
        <stp>Market</stp>
        <stp>FOP</stp>
        <stp>131361018</stp>
        <stp>現在値</stp>
        <tr r="BT132" s="1"/>
      </tp>
      <tp>
        <v>0</v>
        <stp/>
        <stp>Market</stp>
        <stp>FOP</stp>
        <stp>131360018</stp>
        <stp>現在値</stp>
        <tr r="BT130" s="1"/>
      </tp>
      <tp>
        <v>1100</v>
        <stp/>
        <stp>Market</stp>
        <stp>FOP</stp>
        <stp>181236018</stp>
        <stp>現在値</stp>
        <tr r="BT52" s="1"/>
      </tp>
      <tp>
        <v>0</v>
        <stp/>
        <stp>Market</stp>
        <stp>FOP</stp>
        <stp>191236018</stp>
        <stp>現在値</stp>
        <tr r="AZ52" s="1"/>
      </tp>
      <tp>
        <v>190</v>
        <stp/>
        <stp>Market</stp>
        <stp>FOP</stp>
        <stp>131239018</stp>
        <stp>現在値</stp>
        <tr r="BT38" s="1"/>
      </tp>
      <tp>
        <v>165</v>
        <stp/>
        <stp>Market</stp>
        <stp>FOP</stp>
        <stp>131238018</stp>
        <stp>現在値</stp>
        <tr r="BT36" s="1"/>
      </tp>
      <tp>
        <v>135</v>
        <stp/>
        <stp>Market</stp>
        <stp>FOP</stp>
        <stp>131237018</stp>
        <stp>現在値</stp>
        <tr r="BT34" s="1"/>
      </tp>
      <tp>
        <v>115</v>
        <stp/>
        <stp>Market</stp>
        <stp>FOP</stp>
        <stp>131236018</stp>
        <stp>現在値</stp>
        <tr r="BT32" s="1"/>
      </tp>
      <tp>
        <v>865</v>
        <stp/>
        <stp>Market</stp>
        <stp>FOP</stp>
        <stp>131235018</stp>
        <stp>現在値</stp>
        <tr r="BT50" s="1"/>
      </tp>
      <tp>
        <v>640</v>
        <stp/>
        <stp>Market</stp>
        <stp>FOP</stp>
        <stp>131234018</stp>
        <stp>現在値</stp>
        <tr r="BT48" s="1"/>
      </tp>
      <tp>
        <v>505</v>
        <stp/>
        <stp>Market</stp>
        <stp>FOP</stp>
        <stp>131233018</stp>
        <stp>現在値</stp>
        <tr r="BT46" s="1"/>
      </tp>
      <tp>
        <v>365</v>
        <stp/>
        <stp>Market</stp>
        <stp>FOP</stp>
        <stp>131232018</stp>
        <stp>現在値</stp>
        <tr r="BT44" s="1"/>
      </tp>
      <tp>
        <v>0</v>
        <stp/>
        <stp>Market</stp>
        <stp>FOP</stp>
        <stp>141235018</stp>
        <stp>現在値</stp>
        <tr r="AZ50" s="1"/>
      </tp>
      <tp>
        <v>305</v>
        <stp/>
        <stp>Market</stp>
        <stp>FOP</stp>
        <stp>131231018</stp>
        <stp>現在値</stp>
        <tr r="BT42" s="1"/>
      </tp>
      <tp>
        <v>250</v>
        <stp/>
        <stp>Market</stp>
        <stp>FOP</stp>
        <stp>131230018</stp>
        <stp>現在値</stp>
        <tr r="BT40" s="1"/>
      </tp>
      <tp>
        <v>0</v>
        <stp/>
        <stp>Market</stp>
        <stp>FOP</stp>
        <stp>181246018</stp>
        <stp>現在値</stp>
        <tr r="BT102" s="1"/>
      </tp>
      <tp>
        <v>80</v>
        <stp/>
        <stp>Market</stp>
        <stp>FOP</stp>
        <stp>181247018</stp>
        <stp>現在値</stp>
        <tr r="BT104" s="1"/>
      </tp>
      <tp>
        <v>132</v>
        <stp/>
        <stp>Market</stp>
        <stp>FOP</stp>
        <stp>181240018</stp>
        <stp>現在値</stp>
        <tr r="BT110" s="1"/>
      </tp>
      <tp>
        <v>0</v>
        <stp/>
        <stp>Market</stp>
        <stp>FOP</stp>
        <stp>181241018</stp>
        <stp>現在値</stp>
        <tr r="BT112" s="1"/>
      </tp>
      <tp>
        <v>0</v>
        <stp/>
        <stp>Market</stp>
        <stp>FOP</stp>
        <stp>181242018</stp>
        <stp>現在値</stp>
        <tr r="BT114" s="1"/>
      </tp>
      <tp>
        <v>96</v>
        <stp/>
        <stp>Market</stp>
        <stp>FOP</stp>
        <stp>181248018</stp>
        <stp>現在値</stp>
        <tr r="BT106" s="1"/>
      </tp>
      <tp>
        <v>0</v>
        <stp/>
        <stp>Market</stp>
        <stp>FOP</stp>
        <stp>181249018</stp>
        <stp>現在値</stp>
        <tr r="BT108" s="1"/>
      </tp>
      <tp>
        <v>68025</v>
        <stp/>
        <stp>Market</stp>
        <stp>FOP</stp>
        <stp>161110019</stp>
        <stp>現在値</stp>
        <tr r="AZ10" s="1"/>
      </tp>
      <tp>
        <v>84</v>
        <stp/>
        <stp>Market</stp>
        <stp>FOP</stp>
        <stp>181114018</stp>
        <stp>現在値</stp>
        <tr r="BT28" s="1"/>
      </tp>
      <tp>
        <v>94</v>
        <stp/>
        <stp>Market</stp>
        <stp>FOP</stp>
        <stp>181115018</stp>
        <stp>現在値</stp>
        <tr r="BT30" s="1"/>
      </tp>
      <tp>
        <v>0</v>
        <stp/>
        <stp>Market</stp>
        <stp>FOP</stp>
        <stp>181116018</stp>
        <stp>現在値</stp>
        <tr r="BT12" s="1"/>
      </tp>
      <tp>
        <v>0</v>
        <stp/>
        <stp>Market</stp>
        <stp>FOP</stp>
        <stp>181117018</stp>
        <stp>現在値</stp>
        <tr r="BT14" s="1"/>
      </tp>
      <tp>
        <v>45</v>
        <stp/>
        <stp>Market</stp>
        <stp>FOP</stp>
        <stp>181110018</stp>
        <stp>現在値</stp>
        <tr r="BT20" s="1"/>
      </tp>
      <tp>
        <v>54</v>
        <stp/>
        <stp>Market</stp>
        <stp>FOP</stp>
        <stp>181111018</stp>
        <stp>現在値</stp>
        <tr r="BT22" s="1"/>
      </tp>
      <tp>
        <v>62</v>
        <stp/>
        <stp>Market</stp>
        <stp>FOP</stp>
        <stp>181112018</stp>
        <stp>現在値</stp>
        <tr r="BT24" s="1"/>
      </tp>
      <tp>
        <v>66</v>
        <stp/>
        <stp>Market</stp>
        <stp>FOP</stp>
        <stp>181113018</stp>
        <stp>現在値</stp>
        <tr r="BT26" s="1"/>
      </tp>
      <tp>
        <v>33</v>
        <stp/>
        <stp>Market</stp>
        <stp>FOP</stp>
        <stp>181118018</stp>
        <stp>現在値</stp>
        <tr r="BT16" s="1"/>
      </tp>
      <tp>
        <v>39</v>
        <stp/>
        <stp>Market</stp>
        <stp>FOP</stp>
        <stp>181119018</stp>
        <stp>現在値</stp>
        <tr r="BT18" s="1"/>
      </tp>
      <tp>
        <v>68090</v>
        <stp/>
        <stp>Market</stp>
        <stp>FOP</stp>
        <stp>161120019</stp>
        <stp>現在値</stp>
        <tr r="AZ11" s="1"/>
      </tp>
    </main>
    <main first="rtdsrv.48cf1ad348244608b72d359ebfbe4e5c">
      <tp>
        <v>5</v>
        <stp/>
        <stp>Market</stp>
        <stp>FOP</stp>
        <stp>131357018</stp>
        <stp>最良売気配数量1</stp>
        <tr r="BQ54" s="1"/>
      </tp>
      <tp>
        <v>30</v>
        <stp/>
        <stp>Market</stp>
        <stp>FOP</stp>
        <stp>141350018</stp>
        <stp>最良売気配数量1</stp>
        <tr r="AW60" s="1"/>
      </tp>
      <tp>
        <v>4</v>
        <stp/>
        <stp>Market</stp>
        <stp>FOP</stp>
        <stp>141351018</stp>
        <stp>最良売気配数量1</stp>
        <tr r="AW62" s="1"/>
      </tp>
      <tp>
        <v>4</v>
        <stp/>
        <stp>Market</stp>
        <stp>FOP</stp>
        <stp>141352018</stp>
        <stp>最良売気配数量1</stp>
        <tr r="AW64" s="1"/>
      </tp>
      <tp>
        <v>4</v>
        <stp/>
        <stp>Market</stp>
        <stp>FOP</stp>
        <stp>141353018</stp>
        <stp>最良売気配数量1</stp>
        <tr r="AW66" s="1"/>
      </tp>
      <tp>
        <v>14</v>
        <stp/>
        <stp>Market</stp>
        <stp>FOP</stp>
        <stp>141354018</stp>
        <stp>最良売気配数量1</stp>
        <tr r="AW68" s="1"/>
      </tp>
      <tp>
        <v>3</v>
        <stp/>
        <stp>Market</stp>
        <stp>FOP</stp>
        <stp>191359018</stp>
        <stp>最良売気配数量1</stp>
        <tr r="AW78" s="1"/>
      </tp>
      <tp>
        <v>21</v>
        <stp/>
        <stp>Market</stp>
        <stp>FOP</stp>
        <stp>191358018</stp>
        <stp>最良売気配数量1</stp>
        <tr r="AW76" s="1"/>
      </tp>
      <tp>
        <v>20</v>
        <stp/>
        <stp>Market</stp>
        <stp>FOP</stp>
        <stp>131351018</stp>
        <stp>最良売気配数量1</stp>
        <tr r="BQ62" s="1"/>
      </tp>
      <tp>
        <v>27</v>
        <stp/>
        <stp>Market</stp>
        <stp>FOP</stp>
        <stp>131350018</stp>
        <stp>最良売気配数量1</stp>
        <tr r="BQ60" s="1"/>
      </tp>
      <tp>
        <v>20</v>
        <stp/>
        <stp>Market</stp>
        <stp>FOP</stp>
        <stp>141357018</stp>
        <stp>最良売気配数量1</stp>
        <tr r="AW54" s="1"/>
      </tp>
      <tp>
        <v>1</v>
        <stp/>
        <stp>Market</stp>
        <stp>FOP</stp>
        <stp>141357518</stp>
        <stp>最良売気配数量1</stp>
        <tr r="AW95" s="1"/>
      </tp>
      <tp>
        <v>15</v>
        <stp/>
        <stp>Market</stp>
        <stp>FOP</stp>
        <stp>141358018</stp>
        <stp>最良売気配数量1</stp>
        <tr r="AW56" s="1"/>
      </tp>
      <tp>
        <v>10</v>
        <stp/>
        <stp>Market</stp>
        <stp>FOP</stp>
        <stp>191355018</stp>
        <stp>最良売気配数量1</stp>
        <tr r="AW70" s="1"/>
      </tp>
      <tp>
        <v>17</v>
        <stp/>
        <stp>Market</stp>
        <stp>FOP</stp>
        <stp>141359018</stp>
        <stp>最良売気配数量1</stp>
        <tr r="AW58" s="1"/>
      </tp>
      <tp>
        <v>41</v>
        <stp/>
        <stp>Market</stp>
        <stp>FOP</stp>
        <stp>191357018</stp>
        <stp>最良売気配数量1</stp>
        <tr r="AW74" s="1"/>
      </tp>
      <tp>
        <v>12</v>
        <stp/>
        <stp>Market</stp>
        <stp>FOP</stp>
        <stp>191356018</stp>
        <stp>最良売気配数量1</stp>
        <tr r="AW72" s="1"/>
      </tp>
      <tp>
        <v>3</v>
        <stp/>
        <stp>Market</stp>
        <stp>FOP</stp>
        <stp>191350018</stp>
        <stp>最良売気配数量1</stp>
        <tr r="AW80" s="1"/>
      </tp>
      <tp>
        <v>27</v>
        <stp/>
        <stp>Market</stp>
        <stp>FOP</stp>
        <stp>131359018</stp>
        <stp>最良売気配数量1</stp>
        <tr r="BQ58" s="1"/>
      </tp>
      <tp>
        <v>5</v>
        <stp/>
        <stp>Market</stp>
        <stp>FOP</stp>
        <stp>131358018</stp>
        <stp>最良売気配数量1</stp>
        <tr r="BQ56" s="1"/>
      </tp>
      <tp>
        <v>11</v>
        <stp/>
        <stp>Market</stp>
        <stp>FOP</stp>
        <stp>131367018</stp>
        <stp>最良売気配数量1</stp>
        <tr r="BQ124" s="1"/>
      </tp>
      <tp>
        <v>8</v>
        <stp/>
        <stp>Market</stp>
        <stp>FOP</stp>
        <stp>131367518</stp>
        <stp>最良売気配数量1</stp>
        <tr r="BQ125" s="1"/>
      </tp>
      <tp>
        <v>14</v>
        <stp/>
        <stp>Market</stp>
        <stp>FOP</stp>
        <stp>131366018</stp>
        <stp>最良売気配数量1</stp>
        <tr r="BQ122" s="1"/>
      </tp>
      <tp>
        <v>8</v>
        <stp/>
        <stp>Market</stp>
        <stp>FOP</stp>
        <stp>131366518</stp>
        <stp>最良売気配数量1</stp>
        <tr r="BQ123" s="1"/>
      </tp>
      <tp>
        <v>17</v>
        <stp/>
        <stp>Market</stp>
        <stp>FOP</stp>
        <stp>131365018</stp>
        <stp>最良売気配数量1</stp>
        <tr r="BQ120" s="1"/>
      </tp>
      <tp>
        <v>10</v>
        <stp/>
        <stp>Market</stp>
        <stp>FOP</stp>
        <stp>131365518</stp>
        <stp>最良売気配数量1</stp>
        <tr r="BQ121" s="1"/>
      </tp>
      <tp>
        <v>17</v>
        <stp/>
        <stp>Market</stp>
        <stp>FOP</stp>
        <stp>131364018</stp>
        <stp>最良売気配数量1</stp>
        <tr r="BQ118" s="1"/>
      </tp>
      <tp>
        <v>12</v>
        <stp/>
        <stp>Market</stp>
        <stp>FOP</stp>
        <stp>131364518</stp>
        <stp>最良売気配数量1</stp>
        <tr r="BQ119" s="1"/>
      </tp>
      <tp>
        <v>18</v>
        <stp/>
        <stp>Market</stp>
        <stp>FOP</stp>
        <stp>131363018</stp>
        <stp>最良売気配数量1</stp>
        <tr r="BQ116" s="1"/>
      </tp>
      <tp>
        <v>4</v>
        <stp/>
        <stp>Market</stp>
        <stp>FOP</stp>
        <stp>181368018</stp>
        <stp>最良売気配数量1</stp>
        <tr r="BQ146" s="1"/>
      </tp>
      <tp>
        <v>4</v>
        <stp/>
        <stp>Market</stp>
        <stp>FOP</stp>
        <stp>191369018</stp>
        <stp>最良売気配数量1</stp>
        <tr r="AW148" s="1"/>
      </tp>
      <tp>
        <v>14</v>
        <stp/>
        <stp>Market</stp>
        <stp>FOP</stp>
        <stp>131363518</stp>
        <stp>最良売気配数量1</stp>
        <tr r="BQ117" s="1"/>
      </tp>
      <tp>
        <v>3</v>
        <stp/>
        <stp>Market</stp>
        <stp>FOP</stp>
        <stp>181368518</stp>
        <stp>最良売気配数量1</stp>
        <tr r="BQ147" s="1"/>
      </tp>
      <tp>
        <v>3</v>
        <stp/>
        <stp>Market</stp>
        <stp>FOP</stp>
        <stp>191369518</stp>
        <stp>最良売気配数量1</stp>
        <tr r="AW149" s="1"/>
      </tp>
      <tp>
        <v>8</v>
        <stp/>
        <stp>Market</stp>
        <stp>FOP</stp>
        <stp>131362018</stp>
        <stp>最良売気配数量1</stp>
        <tr r="BQ134" s="1"/>
      </tp>
      <tp>
        <v>4</v>
        <stp/>
        <stp>Market</stp>
        <stp>FOP</stp>
        <stp>181369018</stp>
        <stp>最良売気配数量1</stp>
        <tr r="BQ148" s="1"/>
      </tp>
      <tp>
        <v>4</v>
        <stp/>
        <stp>Market</stp>
        <stp>FOP</stp>
        <stp>191368018</stp>
        <stp>最良売気配数量1</stp>
        <tr r="AW146" s="1"/>
      </tp>
      <tp>
        <v>3</v>
        <stp/>
        <stp>Market</stp>
        <stp>FOP</stp>
        <stp>181369518</stp>
        <stp>最良売気配数量1</stp>
        <tr r="BQ149" s="1"/>
      </tp>
      <tp>
        <v>11</v>
        <stp/>
        <stp>Market</stp>
        <stp>FOP</stp>
        <stp>191368518</stp>
        <stp>最良売気配数量1</stp>
        <tr r="AW147" s="1"/>
      </tp>
      <tp>
        <v>8</v>
        <stp/>
        <stp>Market</stp>
        <stp>FOP</stp>
        <stp>131361018</stp>
        <stp>最良売気配数量1</stp>
        <tr r="BQ132" s="1"/>
      </tp>
      <tp>
        <v>6</v>
        <stp/>
        <stp>Market</stp>
        <stp>FOP</stp>
        <stp>131361518</stp>
        <stp>最良売気配数量1</stp>
        <tr r="BQ133" s="1"/>
      </tp>
      <tp>
        <v>11</v>
        <stp/>
        <stp>Market</stp>
        <stp>FOP</stp>
        <stp>131360018</stp>
        <stp>最良売気配数量1</stp>
        <tr r="BQ130" s="1"/>
      </tp>
      <tp>
        <v>2</v>
        <stp/>
        <stp>Market</stp>
        <stp>FOP</stp>
        <stp>131360518</stp>
        <stp>最良売気配数量1</stp>
        <tr r="BQ131" s="1"/>
      </tp>
      <tp>
        <v>5</v>
        <stp/>
        <stp>Market</stp>
        <stp>FOP</stp>
        <stp>181364018</stp>
        <stp>最良売気配数量1</stp>
        <tr r="BQ138" s="1"/>
      </tp>
      <tp>
        <v>20</v>
        <stp/>
        <stp>Market</stp>
        <stp>FOP</stp>
        <stp>191365018</stp>
        <stp>最良売気配数量1</stp>
        <tr r="AW140" s="1"/>
      </tp>
      <tp>
        <v>4</v>
        <stp/>
        <stp>Market</stp>
        <stp>FOP</stp>
        <stp>181364518</stp>
        <stp>最良売気配数量1</stp>
        <tr r="BQ139" s="1"/>
      </tp>
      <tp>
        <v>8</v>
        <stp/>
        <stp>Market</stp>
        <stp>FOP</stp>
        <stp>191365518</stp>
        <stp>最良売気配数量1</stp>
        <tr r="AW141" s="1"/>
      </tp>
      <tp>
        <v>23</v>
        <stp/>
        <stp>Market</stp>
        <stp>FOP</stp>
        <stp>181365018</stp>
        <stp>最良売気配数量1</stp>
        <tr r="BQ140" s="1"/>
      </tp>
      <tp>
        <v>4</v>
        <stp/>
        <stp>Market</stp>
        <stp>FOP</stp>
        <stp>181365518</stp>
        <stp>最良売気配数量1</stp>
        <tr r="BQ141" s="1"/>
      </tp>
      <tp>
        <v>5</v>
        <stp/>
        <stp>Market</stp>
        <stp>FOP</stp>
        <stp>181366018</stp>
        <stp>最良売気配数量1</stp>
        <tr r="BQ142" s="1"/>
      </tp>
      <tp>
        <v>13</v>
        <stp/>
        <stp>Market</stp>
        <stp>FOP</stp>
        <stp>191367018</stp>
        <stp>最良売気配数量1</stp>
        <tr r="AW144" s="1"/>
      </tp>
      <tp>
        <v>3</v>
        <stp/>
        <stp>Market</stp>
        <stp>FOP</stp>
        <stp>181366518</stp>
        <stp>最良売気配数量1</stp>
        <tr r="BQ143" s="1"/>
      </tp>
      <tp>
        <v>10</v>
        <stp/>
        <stp>Market</stp>
        <stp>FOP</stp>
        <stp>191367518</stp>
        <stp>最良売気配数量1</stp>
        <tr r="AW165" s="1"/>
      </tp>
      <tp>
        <v>1</v>
        <stp/>
        <stp>Market</stp>
        <stp>FOP</stp>
        <stp>181367018</stp>
        <stp>最良売気配数量1</stp>
        <tr r="BQ144" s="1"/>
      </tp>
      <tp>
        <v>12</v>
        <stp/>
        <stp>Market</stp>
        <stp>FOP</stp>
        <stp>191366018</stp>
        <stp>最良売気配数量1</stp>
        <tr r="AW142" s="1"/>
      </tp>
      <tp>
        <v>3</v>
        <stp/>
        <stp>Market</stp>
        <stp>FOP</stp>
        <stp>191366518</stp>
        <stp>最良売気配数量1</stp>
        <tr r="AW143" s="1"/>
      </tp>
      <tp>
        <v>1</v>
        <stp/>
        <stp>Market</stp>
        <stp>FOP</stp>
        <stp>181360018</stp>
        <stp>最良売気配数量1</stp>
        <tr r="BQ150" s="1"/>
      </tp>
      <tp>
        <v>4</v>
        <stp/>
        <stp>Market</stp>
        <stp>FOP</stp>
        <stp>191361018</stp>
        <stp>最良売気配数量1</stp>
        <tr r="AW152" s="1"/>
      </tp>
      <tp>
        <v>3</v>
        <stp/>
        <stp>Market</stp>
        <stp>FOP</stp>
        <stp>181360518</stp>
        <stp>最良売気配数量1</stp>
        <tr r="BQ151" s="1"/>
      </tp>
      <tp>
        <v>25</v>
        <stp/>
        <stp>Market</stp>
        <stp>FOP</stp>
        <stp>191361518</stp>
        <stp>最良売気配数量1</stp>
        <tr r="AW153" s="1"/>
      </tp>
      <tp>
        <v>4</v>
        <stp/>
        <stp>Market</stp>
        <stp>FOP</stp>
        <stp>181361018</stp>
        <stp>最良売気配数量1</stp>
        <tr r="BQ152" s="1"/>
      </tp>
      <tp>
        <v>4</v>
        <stp/>
        <stp>Market</stp>
        <stp>FOP</stp>
        <stp>191360018</stp>
        <stp>最良売気配数量1</stp>
        <tr r="AW150" s="1"/>
      </tp>
      <tp>
        <v>3</v>
        <stp/>
        <stp>Market</stp>
        <stp>FOP</stp>
        <stp>191360518</stp>
        <stp>最良売気配数量1</stp>
        <tr r="AW151" s="1"/>
      </tp>
      <tp>
        <v>11</v>
        <stp/>
        <stp>Market</stp>
        <stp>FOP</stp>
        <stp>131369018</stp>
        <stp>最良売気配数量1</stp>
        <tr r="BQ128" s="1"/>
      </tp>
      <tp>
        <v>8</v>
        <stp/>
        <stp>Market</stp>
        <stp>FOP</stp>
        <stp>131369518</stp>
        <stp>最良売気配数量1</stp>
        <tr r="BQ129" s="1"/>
      </tp>
      <tp>
        <v>12</v>
        <stp/>
        <stp>Market</stp>
        <stp>FOP</stp>
        <stp>181362518</stp>
        <stp>最良売気配数量1</stp>
        <tr r="BQ115" s="1"/>
      </tp>
      <tp>
        <v>2</v>
        <stp/>
        <stp>Market</stp>
        <stp>FOP</stp>
        <stp>131368018</stp>
        <stp>最良売気配数量1</stp>
        <tr r="BQ126" s="1"/>
      </tp>
      <tp>
        <v>5</v>
        <stp/>
        <stp>Market</stp>
        <stp>FOP</stp>
        <stp>181363018</stp>
        <stp>最良売気配数量1</stp>
        <tr r="BQ136" s="1"/>
      </tp>
      <tp>
        <v>5</v>
        <stp/>
        <stp>Market</stp>
        <stp>FOP</stp>
        <stp>191362018</stp>
        <stp>最良売気配数量1</stp>
        <tr r="AW154" s="1"/>
      </tp>
      <tp>
        <v>8</v>
        <stp/>
        <stp>Market</stp>
        <stp>FOP</stp>
        <stp>131368518</stp>
        <stp>最良売気配数量1</stp>
        <tr r="BQ127" s="1"/>
      </tp>
      <tp>
        <v>4</v>
        <stp/>
        <stp>Market</stp>
        <stp>FOP</stp>
        <stp>181363518</stp>
        <stp>最良売気配数量1</stp>
        <tr r="BQ137" s="1"/>
      </tp>
    </main>
    <main first="rtdsrv.48cf1ad348244608b72d359ebfbe4e5c">
      <tp>
        <v>26</v>
        <stp/>
        <stp>Market</stp>
        <stp>FOP</stp>
        <stp>181248018</stp>
        <stp>最良売気配数量1</stp>
        <tr r="BQ106" s="1"/>
      </tp>
      <tp>
        <v>18</v>
        <stp/>
        <stp>Market</stp>
        <stp>FOP</stp>
        <stp>181248518</stp>
        <stp>最良売気配数量1</stp>
        <tr r="BQ107" s="1"/>
      </tp>
      <tp>
        <v>26</v>
        <stp/>
        <stp>Market</stp>
        <stp>FOP</stp>
        <stp>181249018</stp>
        <stp>最良売気配数量1</stp>
        <tr r="BQ108" s="1"/>
      </tp>
      <tp>
        <v>18</v>
        <stp/>
        <stp>Market</stp>
        <stp>FOP</stp>
        <stp>181249518</stp>
        <stp>最良売気配数量1</stp>
        <tr r="BQ109" s="1"/>
      </tp>
      <tp>
        <v>1</v>
        <stp/>
        <stp>Market</stp>
        <stp>FOP</stp>
        <stp>181246018</stp>
        <stp>最良売気配数量1</stp>
        <tr r="BQ102" s="1"/>
      </tp>
      <tp>
        <v>1</v>
        <stp/>
        <stp>Market</stp>
        <stp>FOP</stp>
        <stp>181246518</stp>
        <stp>最良売気配数量1</stp>
        <tr r="BQ103" s="1"/>
      </tp>
      <tp>
        <v>26</v>
        <stp/>
        <stp>Market</stp>
        <stp>FOP</stp>
        <stp>181247018</stp>
        <stp>最良売気配数量1</stp>
        <tr r="BQ104" s="1"/>
      </tp>
      <tp>
        <v>18</v>
        <stp/>
        <stp>Market</stp>
        <stp>FOP</stp>
        <stp>181247518</stp>
        <stp>最良売気配数量1</stp>
        <tr r="BQ105" s="1"/>
      </tp>
      <tp>
        <v>23</v>
        <stp/>
        <stp>Market</stp>
        <stp>FOP</stp>
        <stp>181240018</stp>
        <stp>最良売気配数量1</stp>
        <tr r="BQ110" s="1"/>
      </tp>
      <tp>
        <v>14</v>
        <stp/>
        <stp>Market</stp>
        <stp>FOP</stp>
        <stp>181240518</stp>
        <stp>最良売気配数量1</stp>
        <tr r="BQ111" s="1"/>
      </tp>
      <tp>
        <v>21</v>
        <stp/>
        <stp>Market</stp>
        <stp>FOP</stp>
        <stp>181241018</stp>
        <stp>最良売気配数量1</stp>
        <tr r="BQ112" s="1"/>
      </tp>
      <tp>
        <v>15</v>
        <stp/>
        <stp>Market</stp>
        <stp>FOP</stp>
        <stp>181241518</stp>
        <stp>最良売気配数量1</stp>
        <tr r="BQ113" s="1"/>
      </tp>
      <tp>
        <v>21</v>
        <stp/>
        <stp>Market</stp>
        <stp>FOP</stp>
        <stp>181242018</stp>
        <stp>最良売気配数量1</stp>
        <tr r="BQ114" s="1"/>
      </tp>
      <tp>
        <v>2</v>
        <stp/>
        <stp>Market</stp>
        <stp>FOP</stp>
        <stp>181242518</stp>
        <stp>最良売気配数量1</stp>
        <tr r="BQ135" s="1"/>
      </tp>
    </main>
    <main first="rtdsrv.48cf1ad348244608b72d359ebfbe4e5c">
      <tp>
        <v>1</v>
        <stp/>
        <stp>Market</stp>
        <stp>FOP</stp>
        <stp>131237018</stp>
        <stp>最良売気配数量1</stp>
        <tr r="BQ34" s="1"/>
      </tp>
      <tp>
        <v>26</v>
        <stp/>
        <stp>Market</stp>
        <stp>FOP</stp>
        <stp>141230518</stp>
        <stp>最良売気配数量1</stp>
        <tr r="AW61" s="1"/>
      </tp>
      <tp>
        <v>44</v>
        <stp/>
        <stp>Market</stp>
        <stp>FOP</stp>
        <stp>131236018</stp>
        <stp>最良売気配数量1</stp>
        <tr r="BQ32" s="1"/>
      </tp>
      <tp>
        <v>14</v>
        <stp/>
        <stp>Market</stp>
        <stp>FOP</stp>
        <stp>131236518</stp>
        <stp>最良売気配数量1</stp>
        <tr r="BQ53" s="1"/>
      </tp>
      <tp>
        <v>6</v>
        <stp/>
        <stp>Market</stp>
        <stp>FOP</stp>
        <stp>141231518</stp>
        <stp>最良売気配数量1</stp>
        <tr r="AW63" s="1"/>
      </tp>
      <tp>
        <v>35</v>
        <stp/>
        <stp>Market</stp>
        <stp>FOP</stp>
        <stp>131235018</stp>
        <stp>最良売気配数量1</stp>
        <tr r="BQ50" s="1"/>
      </tp>
      <tp>
        <v>18</v>
        <stp/>
        <stp>Market</stp>
        <stp>FOP</stp>
        <stp>131235518</stp>
        <stp>最良売気配数量1</stp>
        <tr r="BQ51" s="1"/>
      </tp>
      <tp>
        <v>4</v>
        <stp/>
        <stp>Market</stp>
        <stp>FOP</stp>
        <stp>131234018</stp>
        <stp>最良売気配数量1</stp>
        <tr r="BQ48" s="1"/>
      </tp>
      <tp>
        <v>6</v>
        <stp/>
        <stp>Market</stp>
        <stp>FOP</stp>
        <stp>131234518</stp>
        <stp>最良売気配数量1</stp>
        <tr r="BQ49" s="1"/>
      </tp>
      <tp>
        <v>6</v>
        <stp/>
        <stp>Market</stp>
        <stp>FOP</stp>
        <stp>141233518</stp>
        <stp>最良売気配数量1</stp>
        <tr r="AW67" s="1"/>
      </tp>
      <tp>
        <v>4</v>
        <stp/>
        <stp>Market</stp>
        <stp>FOP</stp>
        <stp>131233018</stp>
        <stp>最良売気配数量1</stp>
        <tr r="BQ46" s="1"/>
      </tp>
      <tp>
        <v>8</v>
        <stp/>
        <stp>Market</stp>
        <stp>FOP</stp>
        <stp>191239518</stp>
        <stp>最良売気配数量1</stp>
        <tr r="AW79" s="1"/>
      </tp>
      <tp>
        <v>4</v>
        <stp/>
        <stp>Market</stp>
        <stp>FOP</stp>
        <stp>131232018</stp>
        <stp>最良売気配数量1</stp>
        <tr r="BQ44" s="1"/>
      </tp>
      <tp>
        <v>20</v>
        <stp/>
        <stp>Market</stp>
        <stp>FOP</stp>
        <stp>141235018</stp>
        <stp>最良売気配数量1</stp>
        <tr r="AW50" s="1"/>
      </tp>
      <tp>
        <v>4</v>
        <stp/>
        <stp>Market</stp>
        <stp>FOP</stp>
        <stp>131232518</stp>
        <stp>最良売気配数量1</stp>
        <tr r="BQ45" s="1"/>
      </tp>
      <tp>
        <v>12</v>
        <stp/>
        <stp>Market</stp>
        <stp>FOP</stp>
        <stp>141235518</stp>
        <stp>最良売気配数量1</stp>
        <tr r="AW51" s="1"/>
      </tp>
      <tp>
        <v>29</v>
        <stp/>
        <stp>Market</stp>
        <stp>FOP</stp>
        <stp>191238518</stp>
        <stp>最良売気配数量1</stp>
        <tr r="AW77" s="1"/>
      </tp>
      <tp>
        <v>9</v>
        <stp/>
        <stp>Market</stp>
        <stp>FOP</stp>
        <stp>131231018</stp>
        <stp>最良売気配数量1</stp>
        <tr r="BQ42" s="1"/>
      </tp>
      <tp>
        <v>12</v>
        <stp/>
        <stp>Market</stp>
        <stp>FOP</stp>
        <stp>141236518</stp>
        <stp>最良売気配数量1</stp>
        <tr r="AW53" s="1"/>
      </tp>
      <tp>
        <v>11</v>
        <stp/>
        <stp>Market</stp>
        <stp>FOP</stp>
        <stp>131230018</stp>
        <stp>最良売気配数量1</stp>
        <tr r="BQ40" s="1"/>
      </tp>
      <tp>
        <v>19</v>
        <stp/>
        <stp>Market</stp>
        <stp>FOP</stp>
        <stp>131230518</stp>
        <stp>最良売気配数量1</stp>
        <tr r="BQ61" s="1"/>
      </tp>
      <tp>
        <v>8</v>
        <stp/>
        <stp>Market</stp>
        <stp>FOP</stp>
        <stp>141237518</stp>
        <stp>最良売気配数量1</stp>
        <tr r="AW75" s="1"/>
      </tp>
      <tp>
        <v>12</v>
        <stp/>
        <stp>Market</stp>
        <stp>FOP</stp>
        <stp>141238518</stp>
        <stp>最良売気配数量1</stp>
        <tr r="AW57" s="1"/>
      </tp>
      <tp>
        <v>11</v>
        <stp/>
        <stp>Market</stp>
        <stp>FOP</stp>
        <stp>191235518</stp>
        <stp>最良売気配数量1</stp>
        <tr r="AW71" s="1"/>
      </tp>
      <tp>
        <v>14</v>
        <stp/>
        <stp>Market</stp>
        <stp>FOP</stp>
        <stp>141239518</stp>
        <stp>最良売気配数量1</stp>
        <tr r="AW59" s="1"/>
      </tp>
      <tp>
        <v>1</v>
        <stp/>
        <stp>Market</stp>
        <stp>FOP</stp>
        <stp>191234518</stp>
        <stp>最良売気配数量1</stp>
        <tr r="AW69" s="1"/>
      </tp>
      <tp>
        <v>4</v>
        <stp/>
        <stp>Market</stp>
        <stp>FOP</stp>
        <stp>181236018</stp>
        <stp>最良売気配数量1</stp>
        <tr r="BQ52" s="1"/>
      </tp>
      <tp>
        <v>19</v>
        <stp/>
        <stp>Market</stp>
        <stp>FOP</stp>
        <stp>191237518</stp>
        <stp>最良売気配数量1</stp>
        <tr r="AW55" s="1"/>
      </tp>
      <tp>
        <v>27</v>
        <stp/>
        <stp>Market</stp>
        <stp>FOP</stp>
        <stp>191236018</stp>
        <stp>最良売気配数量1</stp>
        <tr r="AW52" s="1"/>
      </tp>
      <tp>
        <v>2</v>
        <stp/>
        <stp>Market</stp>
        <stp>FOP</stp>
        <stp>181237518</stp>
        <stp>最良売気配数量1</stp>
        <tr r="BQ55" s="1"/>
      </tp>
      <tp>
        <v>29</v>
        <stp/>
        <stp>Market</stp>
        <stp>FOP</stp>
        <stp>191236518</stp>
        <stp>最良売気配数量1</stp>
        <tr r="AW73" s="1"/>
      </tp>
      <tp>
        <v>1</v>
        <stp/>
        <stp>Market</stp>
        <stp>FOP</stp>
        <stp>131239018</stp>
        <stp>最良売気配数量1</stp>
        <tr r="BQ38" s="1"/>
      </tp>
      <tp>
        <v>12</v>
        <stp/>
        <stp>Market</stp>
        <stp>FOP</stp>
        <stp>131239518</stp>
        <stp>最良売気配数量1</stp>
        <tr r="BQ59" s="1"/>
      </tp>
      <tp>
        <v>12</v>
        <stp/>
        <stp>Market</stp>
        <stp>FOP</stp>
        <stp>131238018</stp>
        <stp>最良売気配数量1</stp>
        <tr r="BQ36" s="1"/>
      </tp>
      <tp>
        <v>4</v>
        <stp/>
        <stp>Market</stp>
        <stp>FOP</stp>
        <stp>131238518</stp>
        <stp>最良売気配数量1</stp>
        <tr r="BQ57" s="1"/>
      </tp>
      <tp>
        <v>2</v>
        <stp/>
        <stp>Market</stp>
        <stp>FOP</stp>
        <stp>191232518</stp>
        <stp>最良売気配数量1</stp>
        <tr r="AW85" s="1"/>
      </tp>
    </main>
    <main first="rtdsrv.48cf1ad348244608b72d359ebfbe4e5c">
      <tp>
        <v>0</v>
        <stp/>
        <stp>Market</stp>
        <stp>FOP</stp>
        <stp>191487518</stp>
        <stp>現在値</stp>
        <tr r="AZ185" s="1"/>
      </tp>
      <tp>
        <v>0</v>
        <stp/>
        <stp>Market</stp>
        <stp>FOP</stp>
        <stp>191482518</stp>
        <stp>現在値</stp>
        <tr r="AZ175" s="1"/>
      </tp>
      <tp>
        <v>0</v>
        <stp/>
        <stp>Market</stp>
        <stp>FOP</stp>
        <stp>131487518</stp>
        <stp>現在値</stp>
        <tr r="BT145" s="1"/>
      </tp>
      <tp>
        <v>1085</v>
        <stp/>
        <stp>Market</stp>
        <stp>FOP</stp>
        <stp>141482518</stp>
        <stp>現在値</stp>
        <tr r="AZ155" s="1"/>
      </tp>
      <tp>
        <v>0</v>
        <stp/>
        <stp>Market</stp>
        <stp>FOP</stp>
        <stp>141483518</stp>
        <stp>現在値</stp>
        <tr r="AZ157" s="1"/>
      </tp>
      <tp>
        <v>0</v>
        <stp/>
        <stp>Market</stp>
        <stp>FOP</stp>
        <stp>141484518</stp>
        <stp>現在値</stp>
        <tr r="AZ159" s="1"/>
      </tp>
      <tp>
        <v>0</v>
        <stp/>
        <stp>Market</stp>
        <stp>FOP</stp>
        <stp>141485518</stp>
        <stp>現在値</stp>
        <tr r="AZ161" s="1"/>
      </tp>
      <tp>
        <v>0</v>
        <stp/>
        <stp>Market</stp>
        <stp>FOP</stp>
        <stp>141487518</stp>
        <stp>現在値</stp>
        <tr r="AZ145" s="1"/>
      </tp>
      <tp>
        <v>1</v>
        <stp/>
        <stp>Market</stp>
        <stp>FOP</stp>
        <stp>141357518</stp>
        <stp>現在値</stp>
        <tr r="AZ95" s="1"/>
      </tp>
      <tp>
        <v>0</v>
        <stp/>
        <stp>Market</stp>
        <stp>FOP</stp>
        <stp>181364518</stp>
        <stp>現在値</stp>
        <tr r="BT139" s="1"/>
      </tp>
      <tp>
        <v>0</v>
        <stp/>
        <stp>Market</stp>
        <stp>FOP</stp>
        <stp>191365518</stp>
        <stp>現在値</stp>
        <tr r="AZ141" s="1"/>
      </tp>
      <tp>
        <v>0</v>
        <stp/>
        <stp>Market</stp>
        <stp>FOP</stp>
        <stp>181365518</stp>
        <stp>現在値</stp>
        <tr r="BT141" s="1"/>
      </tp>
      <tp>
        <v>0</v>
        <stp/>
        <stp>Market</stp>
        <stp>FOP</stp>
        <stp>181366518</stp>
        <stp>現在値</stp>
        <tr r="BT143" s="1"/>
      </tp>
      <tp>
        <v>0</v>
        <stp/>
        <stp>Market</stp>
        <stp>FOP</stp>
        <stp>191367518</stp>
        <stp>現在値</stp>
        <tr r="AZ165" s="1"/>
      </tp>
      <tp>
        <v>0</v>
        <stp/>
        <stp>Market</stp>
        <stp>FOP</stp>
        <stp>191366518</stp>
        <stp>現在値</stp>
        <tr r="AZ143" s="1"/>
      </tp>
      <tp>
        <v>0</v>
        <stp/>
        <stp>Market</stp>
        <stp>FOP</stp>
        <stp>181360518</stp>
        <stp>現在値</stp>
        <tr r="BT151" s="1"/>
      </tp>
      <tp>
        <v>0</v>
        <stp/>
        <stp>Market</stp>
        <stp>FOP</stp>
        <stp>191361518</stp>
        <stp>現在値</stp>
        <tr r="AZ153" s="1"/>
      </tp>
      <tp>
        <v>0</v>
        <stp/>
        <stp>Market</stp>
        <stp>FOP</stp>
        <stp>191360518</stp>
        <stp>現在値</stp>
        <tr r="AZ151" s="1"/>
      </tp>
      <tp>
        <v>0</v>
        <stp/>
        <stp>Market</stp>
        <stp>FOP</stp>
        <stp>131369518</stp>
        <stp>現在値</stp>
        <tr r="BT129" s="1"/>
      </tp>
      <tp>
        <v>0</v>
        <stp/>
        <stp>Market</stp>
        <stp>FOP</stp>
        <stp>181362518</stp>
        <stp>現在値</stp>
        <tr r="BT115" s="1"/>
      </tp>
      <tp>
        <v>0</v>
        <stp/>
        <stp>Market</stp>
        <stp>FOP</stp>
        <stp>131368518</stp>
        <stp>現在値</stp>
        <tr r="BT127" s="1"/>
      </tp>
      <tp>
        <v>0</v>
        <stp/>
        <stp>Market</stp>
        <stp>FOP</stp>
        <stp>181363518</stp>
        <stp>現在値</stp>
        <tr r="BT137" s="1"/>
      </tp>
      <tp>
        <v>0</v>
        <stp/>
        <stp>Market</stp>
        <stp>FOP</stp>
        <stp>131367518</stp>
        <stp>現在値</stp>
        <tr r="BT125" s="1"/>
      </tp>
      <tp>
        <v>0</v>
        <stp/>
        <stp>Market</stp>
        <stp>FOP</stp>
        <stp>131366518</stp>
        <stp>現在値</stp>
        <tr r="BT123" s="1"/>
      </tp>
      <tp>
        <v>0</v>
        <stp/>
        <stp>Market</stp>
        <stp>FOP</stp>
        <stp>131365518</stp>
        <stp>現在値</stp>
        <tr r="BT121" s="1"/>
      </tp>
      <tp>
        <v>0</v>
        <stp/>
        <stp>Market</stp>
        <stp>FOP</stp>
        <stp>131364518</stp>
        <stp>現在値</stp>
        <tr r="BT119" s="1"/>
      </tp>
      <tp>
        <v>0</v>
        <stp/>
        <stp>Market</stp>
        <stp>FOP</stp>
        <stp>131363518</stp>
        <stp>現在値</stp>
        <tr r="BT117" s="1"/>
      </tp>
      <tp>
        <v>0</v>
        <stp/>
        <stp>Market</stp>
        <stp>FOP</stp>
        <stp>181368518</stp>
        <stp>現在値</stp>
        <tr r="BT147" s="1"/>
      </tp>
      <tp>
        <v>0</v>
        <stp/>
        <stp>Market</stp>
        <stp>FOP</stp>
        <stp>191369518</stp>
        <stp>現在値</stp>
        <tr r="AZ149" s="1"/>
      </tp>
      <tp>
        <v>0</v>
        <stp/>
        <stp>Market</stp>
        <stp>FOP</stp>
        <stp>181369518</stp>
        <stp>現在値</stp>
        <tr r="BT149" s="1"/>
      </tp>
      <tp>
        <v>0</v>
        <stp/>
        <stp>Market</stp>
        <stp>FOP</stp>
        <stp>191368518</stp>
        <stp>現在値</stp>
        <tr r="AZ147" s="1"/>
      </tp>
      <tp>
        <v>0</v>
        <stp/>
        <stp>Market</stp>
        <stp>FOP</stp>
        <stp>131361518</stp>
        <stp>現在値</stp>
        <tr r="BT133" s="1"/>
      </tp>
      <tp>
        <v>0</v>
        <stp/>
        <stp>Market</stp>
        <stp>FOP</stp>
        <stp>131360518</stp>
        <stp>現在値</stp>
        <tr r="BT131" s="1"/>
      </tp>
      <tp>
        <v>0</v>
        <stp/>
        <stp>Market</stp>
        <stp>FOP</stp>
        <stp>141238518</stp>
        <stp>現在値</stp>
        <tr r="AZ57" s="1"/>
      </tp>
      <tp>
        <v>130</v>
        <stp/>
        <stp>Market</stp>
        <stp>FOP</stp>
        <stp>191235518</stp>
        <stp>現在値</stp>
        <tr r="AZ71" s="1"/>
      </tp>
      <tp>
        <v>0</v>
        <stp/>
        <stp>Market</stp>
        <stp>FOP</stp>
        <stp>141239518</stp>
        <stp>現在値</stp>
        <tr r="AZ59" s="1"/>
      </tp>
      <tp>
        <v>0</v>
        <stp/>
        <stp>Market</stp>
        <stp>FOP</stp>
        <stp>191234518</stp>
        <stp>現在値</stp>
        <tr r="AZ69" s="1"/>
      </tp>
      <tp>
        <v>0</v>
        <stp/>
        <stp>Market</stp>
        <stp>FOP</stp>
        <stp>191237518</stp>
        <stp>現在値</stp>
        <tr r="AZ55" s="1"/>
      </tp>
      <tp>
        <v>0</v>
        <stp/>
        <stp>Market</stp>
        <stp>FOP</stp>
        <stp>181237518</stp>
        <stp>現在値</stp>
        <tr r="BT55" s="1"/>
      </tp>
      <tp>
        <v>0</v>
        <stp/>
        <stp>Market</stp>
        <stp>FOP</stp>
        <stp>191236518</stp>
        <stp>現在値</stp>
        <tr r="AZ73" s="1"/>
      </tp>
      <tp>
        <v>0</v>
        <stp/>
        <stp>Market</stp>
        <stp>FOP</stp>
        <stp>131239518</stp>
        <stp>現在値</stp>
        <tr r="BT59" s="1"/>
      </tp>
      <tp>
        <v>0</v>
        <stp/>
        <stp>Market</stp>
        <stp>FOP</stp>
        <stp>131238518</stp>
        <stp>現在値</stp>
        <tr r="BT57" s="1"/>
      </tp>
      <tp>
        <v>5</v>
        <stp/>
        <stp>Market</stp>
        <stp>FOP</stp>
        <stp>191232518</stp>
        <stp>現在値</stp>
        <tr r="AZ85" s="1"/>
      </tp>
      <tp>
        <v>900</v>
        <stp/>
        <stp>Market</stp>
        <stp>FOP</stp>
        <stp>141230518</stp>
        <stp>現在値</stp>
        <tr r="AZ61" s="1"/>
      </tp>
      <tp>
        <v>1245</v>
        <stp/>
        <stp>Market</stp>
        <stp>FOP</stp>
        <stp>131236518</stp>
        <stp>現在値</stp>
        <tr r="BT53" s="1"/>
      </tp>
      <tp>
        <v>660</v>
        <stp/>
        <stp>Market</stp>
        <stp>FOP</stp>
        <stp>141231518</stp>
        <stp>現在値</stp>
        <tr r="AZ63" s="1"/>
      </tp>
      <tp>
        <v>0</v>
        <stp/>
        <stp>Market</stp>
        <stp>FOP</stp>
        <stp>131235518</stp>
        <stp>現在値</stp>
        <tr r="BT51" s="1"/>
      </tp>
      <tp>
        <v>760</v>
        <stp/>
        <stp>Market</stp>
        <stp>FOP</stp>
        <stp>131234518</stp>
        <stp>現在値</stp>
        <tr r="BT49" s="1"/>
      </tp>
      <tp>
        <v>282</v>
        <stp/>
        <stp>Market</stp>
        <stp>FOP</stp>
        <stp>141233518</stp>
        <stp>現在値</stp>
        <tr r="AZ67" s="1"/>
      </tp>
      <tp>
        <v>18</v>
        <stp/>
        <stp>Market</stp>
        <stp>FOP</stp>
        <stp>191239518</stp>
        <stp>現在値</stp>
        <tr r="AZ79" s="1"/>
      </tp>
      <tp>
        <v>0</v>
        <stp/>
        <stp>Market</stp>
        <stp>FOP</stp>
        <stp>131232518</stp>
        <stp>現在値</stp>
        <tr r="BT45" s="1"/>
      </tp>
      <tp>
        <v>0</v>
        <stp/>
        <stp>Market</stp>
        <stp>FOP</stp>
        <stp>141235518</stp>
        <stp>現在値</stp>
        <tr r="AZ51" s="1"/>
      </tp>
      <tp>
        <v>33</v>
        <stp/>
        <stp>Market</stp>
        <stp>FOP</stp>
        <stp>191238518</stp>
        <stp>現在値</stp>
        <tr r="AZ77" s="1"/>
      </tp>
      <tp>
        <v>0</v>
        <stp/>
        <stp>Market</stp>
        <stp>FOP</stp>
        <stp>141236518</stp>
        <stp>現在値</stp>
        <tr r="AZ53" s="1"/>
      </tp>
      <tp>
        <v>0</v>
        <stp/>
        <stp>Market</stp>
        <stp>FOP</stp>
        <stp>131230518</stp>
        <stp>現在値</stp>
        <tr r="BT61" s="1"/>
      </tp>
      <tp>
        <v>45</v>
        <stp/>
        <stp>Market</stp>
        <stp>FOP</stp>
        <stp>141237518</stp>
        <stp>現在値</stp>
        <tr r="AZ75" s="1"/>
      </tp>
      <tp>
        <v>0</v>
        <stp/>
        <stp>Market</stp>
        <stp>FOP</stp>
        <stp>181246518</stp>
        <stp>現在値</stp>
        <tr r="BT103" s="1"/>
      </tp>
      <tp>
        <v>0</v>
        <stp/>
        <stp>Market</stp>
        <stp>FOP</stp>
        <stp>181247518</stp>
        <stp>現在値</stp>
        <tr r="BT105" s="1"/>
      </tp>
      <tp>
        <v>0</v>
        <stp/>
        <stp>Market</stp>
        <stp>FOP</stp>
        <stp>181240518</stp>
        <stp>現在値</stp>
        <tr r="BT111" s="1"/>
      </tp>
      <tp>
        <v>0</v>
        <stp/>
        <stp>Market</stp>
        <stp>FOP</stp>
        <stp>181241518</stp>
        <stp>現在値</stp>
        <tr r="BT113" s="1"/>
      </tp>
      <tp>
        <v>0</v>
        <stp/>
        <stp>Market</stp>
        <stp>FOP</stp>
        <stp>181242518</stp>
        <stp>現在値</stp>
        <tr r="BT135" s="1"/>
      </tp>
      <tp>
        <v>0</v>
        <stp/>
        <stp>Market</stp>
        <stp>FOP</stp>
        <stp>181248518</stp>
        <stp>現在値</stp>
        <tr r="BT107" s="1"/>
      </tp>
      <tp>
        <v>0</v>
        <stp/>
        <stp>Market</stp>
        <stp>FOP</stp>
        <stp>181249518</stp>
        <stp>現在値</stp>
        <tr r="BT109" s="1"/>
      </tp>
      <tp>
        <v>0</v>
        <stp/>
        <stp>Market</stp>
        <stp>FOP</stp>
        <stp>181115518</stp>
        <stp>現在値</stp>
        <tr r="BT31" s="1"/>
      </tp>
      <tp>
        <v>0</v>
        <stp/>
        <stp>Market</stp>
        <stp>FOP</stp>
        <stp>181116518</stp>
        <stp>現在値</stp>
        <tr r="BT33" s="1"/>
      </tp>
      <tp>
        <v>0</v>
        <stp/>
        <stp>Market</stp>
        <stp>FOP</stp>
        <stp>181117518</stp>
        <stp>現在値</stp>
        <tr r="BT35" s="1"/>
      </tp>
      <tp>
        <v>0</v>
        <stp/>
        <stp>Market</stp>
        <stp>FOP</stp>
        <stp>181110518</stp>
        <stp>現在値</stp>
        <tr r="BT41" s="1"/>
      </tp>
      <tp>
        <v>0</v>
        <stp/>
        <stp>Market</stp>
        <stp>FOP</stp>
        <stp>181111518</stp>
        <stp>現在値</stp>
        <tr r="BT43" s="1"/>
      </tp>
      <tp>
        <v>0</v>
        <stp/>
        <stp>Market</stp>
        <stp>FOP</stp>
        <stp>131119518</stp>
        <stp>現在値</stp>
        <tr r="BT19" s="1"/>
      </tp>
      <tp>
        <v>0</v>
        <stp/>
        <stp>Market</stp>
        <stp>FOP</stp>
        <stp>131118518</stp>
        <stp>現在値</stp>
        <tr r="BT17" s="1"/>
      </tp>
      <tp>
        <v>0</v>
        <stp/>
        <stp>Market</stp>
        <stp>FOP</stp>
        <stp>181113518</stp>
        <stp>現在値</stp>
        <tr r="BT47" s="1"/>
      </tp>
      <tp>
        <v>415</v>
        <stp/>
        <stp>Market</stp>
        <stp>FOP</stp>
        <stp>191112518</stp>
        <stp>現在値</stp>
        <tr r="AZ65" s="1"/>
      </tp>
      <tp>
        <v>0</v>
        <stp/>
        <stp>Market</stp>
        <stp>FOP</stp>
        <stp>131117518</stp>
        <stp>現在値</stp>
        <tr r="BT15" s="1"/>
      </tp>
      <tp>
        <v>0</v>
        <stp/>
        <stp>Market</stp>
        <stp>FOP</stp>
        <stp>131116518</stp>
        <stp>現在値</stp>
        <tr r="BT13" s="1"/>
      </tp>
      <tp>
        <v>87</v>
        <stp/>
        <stp>Market</stp>
        <stp>FOP</stp>
        <stp>131114518</stp>
        <stp>現在値</stp>
        <tr r="BT29" s="1"/>
      </tp>
      <tp>
        <v>0</v>
        <stp/>
        <stp>Market</stp>
        <stp>FOP</stp>
        <stp>131113518</stp>
        <stp>現在値</stp>
        <tr r="BT27" s="1"/>
      </tp>
      <tp>
        <v>180</v>
        <stp/>
        <stp>Market</stp>
        <stp>FOP</stp>
        <stp>181118518</stp>
        <stp>現在値</stp>
        <tr r="BT37" s="1"/>
      </tp>
      <tp>
        <v>0</v>
        <stp/>
        <stp>Market</stp>
        <stp>FOP</stp>
        <stp>131112518</stp>
        <stp>現在値</stp>
        <tr r="BT25" s="1"/>
      </tp>
      <tp>
        <v>0</v>
        <stp/>
        <stp>Market</stp>
        <stp>FOP</stp>
        <stp>181119518</stp>
        <stp>現在値</stp>
        <tr r="BT39" s="1"/>
      </tp>
      <tp>
        <v>0</v>
        <stp/>
        <stp>Market</stp>
        <stp>FOP</stp>
        <stp>131111518</stp>
        <stp>現在値</stp>
        <tr r="BT23" s="1"/>
      </tp>
      <tp>
        <v>0</v>
        <stp/>
        <stp>Market</stp>
        <stp>FOP</stp>
        <stp>131110518</stp>
        <stp>現在値</stp>
        <tr r="BT21" s="1"/>
      </tp>
    </main>
    <main first="rtdsrv.48cf1ad348244608b72d359ebfbe4e5c">
      <tp>
        <v>31</v>
        <stp/>
        <stp>Market</stp>
        <stp>FOP</stp>
        <stp>141470018</stp>
        <stp>最良売気配数量1</stp>
        <tr r="AW100" s="1"/>
      </tp>
      <tp>
        <v>51</v>
        <stp/>
        <stp>Market</stp>
        <stp>FOP</stp>
        <stp>141475018</stp>
        <stp>最良売気配数量1</stp>
        <tr r="AW90" s="1"/>
      </tp>
    </main>
    <main first="rtdsrv.48cf1ad348244608b72d359ebfbe4e5c">
      <tp>
        <v>5</v>
        <stp/>
        <stp>Market</stp>
        <stp>FOP</stp>
        <stp>141480018</stp>
        <stp>最良売気配数量1</stp>
        <tr r="AW170" s="1"/>
      </tp>
      <tp>
        <v>3</v>
        <stp/>
        <stp>Market</stp>
        <stp>FOP</stp>
        <stp>131487518</stp>
        <stp>最良売気配数量1</stp>
        <tr r="BQ145" s="1"/>
      </tp>
      <tp>
        <v>18</v>
        <stp/>
        <stp>Market</stp>
        <stp>FOP</stp>
        <stp>141481018</stp>
        <stp>最良売気配数量1</stp>
        <tr r="AW172" s="1"/>
      </tp>
      <tp>
        <v>1</v>
        <stp/>
        <stp>Market</stp>
        <stp>FOP</stp>
        <stp>141482018</stp>
        <stp>最良売気配数量1</stp>
        <tr r="AW174" s="1"/>
      </tp>
      <tp>
        <v>2</v>
        <stp/>
        <stp>Market</stp>
        <stp>FOP</stp>
        <stp>141482518</stp>
        <stp>最良売気配数量1</stp>
        <tr r="AW155" s="1"/>
      </tp>
      <tp>
        <v>5</v>
        <stp/>
        <stp>Market</stp>
        <stp>FOP</stp>
        <stp>141483018</stp>
        <stp>最良売気配数量1</stp>
        <tr r="AW156" s="1"/>
      </tp>
      <tp>
        <v>4</v>
        <stp/>
        <stp>Market</stp>
        <stp>FOP</stp>
        <stp>141483518</stp>
        <stp>最良売気配数量1</stp>
        <tr r="AW157" s="1"/>
      </tp>
      <tp>
        <v>2</v>
        <stp/>
        <stp>Market</stp>
        <stp>FOP</stp>
        <stp>141484018</stp>
        <stp>最良売気配数量1</stp>
        <tr r="AW158" s="1"/>
      </tp>
      <tp>
        <v>6</v>
        <stp/>
        <stp>Market</stp>
        <stp>FOP</stp>
        <stp>141484518</stp>
        <stp>最良売気配数量1</stp>
        <tr r="AW159" s="1"/>
      </tp>
      <tp>
        <v>2</v>
        <stp/>
        <stp>Market</stp>
        <stp>FOP</stp>
        <stp>141485018</stp>
        <stp>最良売気配数量1</stp>
        <tr r="AW160" s="1"/>
      </tp>
      <tp>
        <v>2</v>
        <stp/>
        <stp>Market</stp>
        <stp>FOP</stp>
        <stp>141485518</stp>
        <stp>最良売気配数量1</stp>
        <tr r="AW161" s="1"/>
      </tp>
      <tp>
        <v>2</v>
        <stp/>
        <stp>Market</stp>
        <stp>FOP</stp>
        <stp>141486018</stp>
        <stp>最良売気配数量1</stp>
        <tr r="AW162" s="1"/>
      </tp>
      <tp>
        <v>11</v>
        <stp/>
        <stp>Market</stp>
        <stp>FOP</stp>
        <stp>141487018</stp>
        <stp>最良売気配数量1</stp>
        <tr r="AW164" s="1"/>
      </tp>
      <tp>
        <v>3</v>
        <stp/>
        <stp>Market</stp>
        <stp>FOP</stp>
        <stp>141487518</stp>
        <stp>最良売気配数量1</stp>
        <tr r="AW145" s="1"/>
      </tp>
      <tp>
        <v>12</v>
        <stp/>
        <stp>Market</stp>
        <stp>FOP</stp>
        <stp>141488018</stp>
        <stp>最良売気配数量1</stp>
        <tr r="AW166" s="1"/>
      </tp>
      <tp>
        <v>24</v>
        <stp/>
        <stp>Market</stp>
        <stp>FOP</stp>
        <stp>191485018</stp>
        <stp>最良売気配数量1</stp>
        <tr r="AW180" s="1"/>
      </tp>
      <tp>
        <v>13</v>
        <stp/>
        <stp>Market</stp>
        <stp>FOP</stp>
        <stp>141489018</stp>
        <stp>最良売気配数量1</stp>
        <tr r="AW168" s="1"/>
      </tp>
      <tp>
        <v>63</v>
        <stp/>
        <stp>Market</stp>
        <stp>FOP</stp>
        <stp>191484018</stp>
        <stp>最良売気配数量1</stp>
        <tr r="AW178" s="1"/>
      </tp>
      <tp>
        <v>7</v>
        <stp/>
        <stp>Market</stp>
        <stp>FOP</stp>
        <stp>191487518</stp>
        <stp>最良売気配数量1</stp>
        <tr r="AW185" s="1"/>
      </tp>
      <tp>
        <v>10</v>
        <stp/>
        <stp>Market</stp>
        <stp>FOP</stp>
        <stp>191480018</stp>
        <stp>最良売気配数量1</stp>
        <tr r="AW190" s="1"/>
      </tp>
      <tp>
        <v>1</v>
        <stp/>
        <stp>Market</stp>
        <stp>FOP</stp>
        <stp>191483018</stp>
        <stp>最良売気配数量1</stp>
        <tr r="AW176" s="1"/>
      </tp>
      <tp>
        <v>1</v>
        <stp/>
        <stp>Market</stp>
        <stp>FOP</stp>
        <stp>191482518</stp>
        <stp>最良売気配数量1</stp>
        <tr r="AW175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5" name="btnWriteFutureOptionSymbo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先物・OP銘柄書込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Z238"/>
  <sheetViews>
    <sheetView tabSelected="1" zoomScale="85" zoomScaleNormal="85" workbookViewId="0">
      <selection activeCell="E41" sqref="E41"/>
    </sheetView>
  </sheetViews>
  <sheetFormatPr defaultRowHeight="18.75"/>
  <cols>
    <col min="4" max="4" width="13.75" customWidth="1"/>
    <col min="5" max="5" width="10" customWidth="1"/>
    <col min="6" max="6" width="11.375" customWidth="1"/>
    <col min="40" max="40" width="11" bestFit="1" customWidth="1"/>
    <col min="41" max="41" width="32.375" bestFit="1" customWidth="1"/>
    <col min="42" max="42" width="7.875" customWidth="1"/>
    <col min="43" max="43" width="6.5" customWidth="1"/>
    <col min="47" max="47" width="11.375" customWidth="1"/>
    <col min="54" max="54" width="10.75" customWidth="1"/>
    <col min="60" max="60" width="11" bestFit="1" customWidth="1"/>
    <col min="61" max="61" width="30.5" customWidth="1"/>
  </cols>
  <sheetData>
    <row r="1" spans="1:78">
      <c r="A1" t="s">
        <v>0</v>
      </c>
    </row>
    <row r="5" spans="1:78">
      <c r="C5" t="s">
        <v>3</v>
      </c>
      <c r="F5" t="s">
        <v>3</v>
      </c>
      <c r="AN5" t="s">
        <v>18</v>
      </c>
      <c r="BH5" t="s">
        <v>19</v>
      </c>
    </row>
    <row r="6" spans="1:78">
      <c r="B6" t="s">
        <v>1</v>
      </c>
      <c r="C6" s="1" t="s">
        <v>4</v>
      </c>
      <c r="E6" t="s">
        <v>2</v>
      </c>
      <c r="F6" s="1" t="s">
        <v>5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27</v>
      </c>
      <c r="AV6" t="s">
        <v>28</v>
      </c>
      <c r="AW6" t="s">
        <v>29</v>
      </c>
      <c r="AX6" t="s">
        <v>30</v>
      </c>
      <c r="AY6" t="s">
        <v>31</v>
      </c>
      <c r="AZ6" t="s">
        <v>32</v>
      </c>
      <c r="BA6" t="s">
        <v>33</v>
      </c>
      <c r="BB6" t="s">
        <v>34</v>
      </c>
      <c r="BC6" t="s">
        <v>35</v>
      </c>
      <c r="BD6" t="s">
        <v>36</v>
      </c>
      <c r="BE6" t="s">
        <v>37</v>
      </c>
      <c r="BF6" t="s">
        <v>38</v>
      </c>
      <c r="BH6" t="s">
        <v>20</v>
      </c>
      <c r="BI6" t="s">
        <v>21</v>
      </c>
      <c r="BJ6" t="s">
        <v>22</v>
      </c>
      <c r="BK6" t="s">
        <v>23</v>
      </c>
      <c r="BL6" t="s">
        <v>24</v>
      </c>
      <c r="BM6" t="s">
        <v>25</v>
      </c>
      <c r="BN6" t="s">
        <v>26</v>
      </c>
      <c r="BO6" t="s">
        <v>27</v>
      </c>
      <c r="BP6" t="s">
        <v>28</v>
      </c>
      <c r="BQ6" t="s">
        <v>29</v>
      </c>
      <c r="BR6" t="s">
        <v>30</v>
      </c>
      <c r="BS6" t="s">
        <v>31</v>
      </c>
      <c r="BT6" t="s">
        <v>32</v>
      </c>
      <c r="BU6" t="s">
        <v>33</v>
      </c>
      <c r="BV6" t="s">
        <v>34</v>
      </c>
      <c r="BW6" t="s">
        <v>35</v>
      </c>
      <c r="BX6" t="s">
        <v>36</v>
      </c>
      <c r="BY6" t="s">
        <v>37</v>
      </c>
      <c r="BZ6" t="s">
        <v>38</v>
      </c>
    </row>
    <row r="7" spans="1:78">
      <c r="AN7" t="s">
        <v>39</v>
      </c>
      <c r="AO7" t="s">
        <v>40</v>
      </c>
      <c r="AP7" t="s">
        <v>41</v>
      </c>
      <c r="AQ7" t="s">
        <v>42</v>
      </c>
      <c r="AR7" t="s">
        <v>43</v>
      </c>
      <c r="AS7" t="s">
        <v>44</v>
      </c>
      <c r="AT7" t="s">
        <v>45</v>
      </c>
      <c r="AU7" t="s">
        <v>46</v>
      </c>
      <c r="AV7" t="s">
        <v>47</v>
      </c>
      <c r="AW7" t="s">
        <v>48</v>
      </c>
      <c r="AX7" t="s">
        <v>49</v>
      </c>
      <c r="AY7" t="s">
        <v>50</v>
      </c>
      <c r="AZ7" t="s">
        <v>51</v>
      </c>
      <c r="BA7" t="s">
        <v>52</v>
      </c>
      <c r="BB7" t="s">
        <v>53</v>
      </c>
      <c r="BC7" t="s">
        <v>54</v>
      </c>
      <c r="BD7" t="s">
        <v>55</v>
      </c>
      <c r="BE7" t="s">
        <v>56</v>
      </c>
      <c r="BF7" t="s">
        <v>57</v>
      </c>
      <c r="BH7" t="s">
        <v>39</v>
      </c>
      <c r="BI7" t="s">
        <v>40</v>
      </c>
      <c r="BJ7" t="s">
        <v>41</v>
      </c>
      <c r="BK7" t="s">
        <v>42</v>
      </c>
      <c r="BL7" t="s">
        <v>43</v>
      </c>
      <c r="BM7" t="s">
        <v>44</v>
      </c>
      <c r="BN7" t="s">
        <v>45</v>
      </c>
      <c r="BO7" t="s">
        <v>46</v>
      </c>
      <c r="BP7" t="s">
        <v>47</v>
      </c>
      <c r="BQ7" t="s">
        <v>48</v>
      </c>
      <c r="BR7" t="s">
        <v>49</v>
      </c>
      <c r="BS7" t="s">
        <v>50</v>
      </c>
      <c r="BT7" t="s">
        <v>51</v>
      </c>
      <c r="BU7" t="s">
        <v>52</v>
      </c>
      <c r="BV7" t="s">
        <v>53</v>
      </c>
      <c r="BW7" t="s">
        <v>54</v>
      </c>
      <c r="BX7" t="s">
        <v>55</v>
      </c>
      <c r="BY7" t="s">
        <v>56</v>
      </c>
      <c r="BZ7" t="s">
        <v>57</v>
      </c>
    </row>
    <row r="8" spans="1:78">
      <c r="AN8" t="str">
        <f>_xll.RssIndexMarket("NVI","指標コード")</f>
        <v>NVI</v>
      </c>
      <c r="AO8" t="str">
        <f>_xll.RssIndexMarket("NVI","指標名称")</f>
        <v>日経平均VI指数</v>
      </c>
      <c r="AP8">
        <v>1</v>
      </c>
      <c r="AQ8" s="3" t="s">
        <v>10</v>
      </c>
      <c r="AR8" t="s">
        <v>11</v>
      </c>
      <c r="AS8">
        <v>0</v>
      </c>
      <c r="AU8" s="4">
        <v>46065</v>
      </c>
      <c r="AV8">
        <v>0</v>
      </c>
      <c r="AW8">
        <v>0</v>
      </c>
      <c r="AX8">
        <v>0</v>
      </c>
      <c r="AY8">
        <v>0</v>
      </c>
      <c r="AZ8">
        <f>_xll.RssIndexMarket("NVI","現在値")</f>
        <v>28.09</v>
      </c>
      <c r="BA8">
        <v>0</v>
      </c>
      <c r="BB8">
        <v>0</v>
      </c>
      <c r="BC8">
        <f>_xll.RssIndexMarket("NVI","始値")</f>
        <v>29.15</v>
      </c>
      <c r="BD8">
        <f>_xll.RssIndexMarket("NVI","高値")</f>
        <v>29.16</v>
      </c>
      <c r="BE8">
        <f>_xll.RssIndexMarket("NVI","安値")</f>
        <v>27.2</v>
      </c>
      <c r="BF8">
        <f>_xll.RssIndexMarket("NVI","前日終値")</f>
        <v>30.41</v>
      </c>
      <c r="BK8" s="3"/>
    </row>
    <row r="9" spans="1:78">
      <c r="C9" t="s">
        <v>6</v>
      </c>
      <c r="D9" t="s">
        <v>7</v>
      </c>
      <c r="E9" t="s">
        <v>8</v>
      </c>
      <c r="F9" t="s">
        <v>9</v>
      </c>
      <c r="AN9" t="str">
        <f>_xll.RssIndexMarket("VIX","指標コード")</f>
        <v>VIX</v>
      </c>
      <c r="AO9" t="str">
        <f>_xll.RssIndexMarket("VIX","指標名称")</f>
        <v>VIX指数</v>
      </c>
      <c r="AP9">
        <v>1</v>
      </c>
      <c r="AQ9" s="3" t="s">
        <v>12</v>
      </c>
      <c r="AR9" t="s">
        <v>11</v>
      </c>
      <c r="AS9">
        <v>0</v>
      </c>
      <c r="AU9" s="4">
        <v>46065</v>
      </c>
      <c r="AV9">
        <v>0</v>
      </c>
      <c r="AW9">
        <v>0</v>
      </c>
      <c r="AX9">
        <v>0</v>
      </c>
      <c r="AY9">
        <v>0</v>
      </c>
      <c r="AZ9">
        <f>_xll.RssIndexMarket("VIX","現在値")</f>
        <v>15.34</v>
      </c>
      <c r="BA9">
        <v>0</v>
      </c>
      <c r="BB9">
        <v>0</v>
      </c>
      <c r="BC9">
        <f>_xll.RssIndexMarket("VIX","始値")</f>
        <v>15.17</v>
      </c>
      <c r="BD9">
        <f>_xll.RssIndexMarket("VIX","高値")</f>
        <v>15.37</v>
      </c>
      <c r="BE9">
        <f>_xll.RssIndexMarket("VIX","安値")</f>
        <v>15.16</v>
      </c>
      <c r="BF9">
        <f>_xll.RssIndexMarket("VIX","前日終値")</f>
        <v>15.27</v>
      </c>
      <c r="BK9" s="3"/>
    </row>
    <row r="10" spans="1:78">
      <c r="C10" s="2">
        <v>68000</v>
      </c>
      <c r="D10" s="2">
        <v>22000</v>
      </c>
      <c r="E10" s="2">
        <v>500</v>
      </c>
      <c r="F10" s="2">
        <v>3000</v>
      </c>
      <c r="AN10">
        <v>161110019</v>
      </c>
      <c r="AO10" t="str">
        <f>_xll.RssFOPMarket(161110019,"銘柄名称")</f>
        <v>日経225ミニ 26-11</v>
      </c>
      <c r="AP10">
        <v>5</v>
      </c>
      <c r="AQ10" s="3" t="s">
        <v>13</v>
      </c>
      <c r="AR10" t="s">
        <v>14</v>
      </c>
      <c r="AS10">
        <v>0</v>
      </c>
      <c r="AU10" t="str">
        <f>_xll.RssFOPMarket(161110019,"売買最終日")</f>
        <v>2026/11/12</v>
      </c>
      <c r="AV10">
        <f>_xll.RssFOPMarket(161110019,"最良売気配値1")</f>
        <v>68015</v>
      </c>
      <c r="AW10">
        <f>_xll.RssFOPMarket(161110019,"最良売気配数量1")</f>
        <v>2</v>
      </c>
      <c r="AX10">
        <f>_xll.RssFOPMarket(161110019,"最良買気配値1")</f>
        <v>68005</v>
      </c>
      <c r="AY10">
        <f>_xll.RssFOPMarket(161110019,"最良買気配数量1")</f>
        <v>2</v>
      </c>
      <c r="AZ10">
        <f>_xll.RssFOPMarket(161110019,"現在値")</f>
        <v>68025</v>
      </c>
      <c r="BA10">
        <f>_xll.RssFOPMarket(161110019,"出来高")</f>
        <v>1272</v>
      </c>
      <c r="BB10">
        <f>_xll.RssFOPMarket(161110019,"売買代金")</f>
        <v>8670976</v>
      </c>
      <c r="BC10">
        <f>_xll.RssFOPMarket(161110019,"始値")</f>
        <v>68125</v>
      </c>
      <c r="BD10">
        <f>_xll.RssFOPMarket(161110019,"高値")</f>
        <v>68365</v>
      </c>
      <c r="BE10">
        <f>_xll.RssFOPMarket(161110019,"安値")</f>
        <v>67945</v>
      </c>
      <c r="BF10">
        <f>_xll.RssFOPMarket(161110019,"前日終値")</f>
        <v>68040</v>
      </c>
      <c r="BK10" s="3"/>
    </row>
    <row r="11" spans="1:78">
      <c r="AN11">
        <v>161120019</v>
      </c>
      <c r="AO11" t="str">
        <f>_xll.RssFOPMarket(161120019,"銘柄名称")</f>
        <v>日経225ミニ 26-12</v>
      </c>
      <c r="AP11">
        <v>5</v>
      </c>
      <c r="AQ11" s="3" t="s">
        <v>15</v>
      </c>
      <c r="AR11" t="s">
        <v>14</v>
      </c>
      <c r="AS11">
        <v>0</v>
      </c>
      <c r="AU11" t="str">
        <f>_xll.RssFOPMarket(161120019,"売買最終日")</f>
        <v>2026/12/10</v>
      </c>
      <c r="AV11">
        <f>_xll.RssFOPMarket(161120019,"最良売気配値1")</f>
        <v>68090</v>
      </c>
      <c r="AW11">
        <f>_xll.RssFOPMarket(161120019,"最良売気配数量1")</f>
        <v>14</v>
      </c>
      <c r="AX11">
        <f>_xll.RssFOPMarket(161120019,"最良買気配値1")</f>
        <v>68085</v>
      </c>
      <c r="AY11">
        <f>_xll.RssFOPMarket(161120019,"最良買気配数量1")</f>
        <v>29</v>
      </c>
      <c r="AZ11">
        <f>_xll.RssFOPMarket(161120019,"現在値")</f>
        <v>68090</v>
      </c>
      <c r="BA11">
        <f>_xll.RssFOPMarket(161120019,"出来高")</f>
        <v>45863</v>
      </c>
      <c r="BB11">
        <f>_xll.RssFOPMarket(161120019,"売買代金")</f>
        <v>313039399</v>
      </c>
      <c r="BC11">
        <f>_xll.RssFOPMarket(161120019,"始値")</f>
        <v>68230</v>
      </c>
      <c r="BD11">
        <f>_xll.RssFOPMarket(161120019,"高値")</f>
        <v>68445</v>
      </c>
      <c r="BE11">
        <f>_xll.RssFOPMarket(161120019,"安値")</f>
        <v>68025</v>
      </c>
      <c r="BF11">
        <f>_xll.RssFOPMarket(161120019,"前日終値")</f>
        <v>68160</v>
      </c>
      <c r="BK11" s="3"/>
    </row>
    <row r="12" spans="1:78">
      <c r="AQ12" s="3"/>
      <c r="BH12">
        <v>181116018</v>
      </c>
      <c r="BI12" t="str">
        <f>_xll.RssFOPMarket(181116018,"銘柄名称")</f>
        <v>日経225オプション 26-11 P 46000</v>
      </c>
      <c r="BJ12">
        <v>1</v>
      </c>
      <c r="BK12" s="3" t="s">
        <v>13</v>
      </c>
      <c r="BL12" t="s">
        <v>16</v>
      </c>
      <c r="BM12">
        <v>46000</v>
      </c>
      <c r="BO12" t="str">
        <f>$AU$10</f>
        <v>2026/11/12</v>
      </c>
      <c r="BP12">
        <f>_xll.RssFOPMarket(181116018,"最良売気配値1")</f>
        <v>30</v>
      </c>
      <c r="BQ12">
        <f>_xll.RssFOPMarket(181116018,"最良売気配数量1")</f>
        <v>39</v>
      </c>
      <c r="BR12">
        <f>_xll.RssFOPMarket(181116018,"最良買気配値1")</f>
        <v>22</v>
      </c>
      <c r="BS12">
        <f>_xll.RssFOPMarket(181116018,"最良買気配数量1")</f>
        <v>12</v>
      </c>
      <c r="BT12">
        <f>_xll.RssFOPMarket(181116018,"現在値")</f>
        <v>0</v>
      </c>
      <c r="BU12">
        <f>_xll.RssFOPMarket(181116018,"出来高")</f>
        <v>0</v>
      </c>
      <c r="BV12">
        <f>_xll.RssFOPMarket(181116018,"売買代金")</f>
        <v>0</v>
      </c>
      <c r="BW12">
        <f>_xll.RssFOPMarket(181116018,"始値")</f>
        <v>0</v>
      </c>
      <c r="BX12">
        <f>_xll.RssFOPMarket(181116018,"高値")</f>
        <v>0</v>
      </c>
      <c r="BY12">
        <f>_xll.RssFOPMarket(181116018,"安値")</f>
        <v>0</v>
      </c>
      <c r="BZ12">
        <f>_xll.RssFOPMarket(181116018,"前日終値")</f>
        <v>24</v>
      </c>
    </row>
    <row r="13" spans="1:78">
      <c r="AQ13" s="3"/>
      <c r="BH13">
        <v>131116518</v>
      </c>
      <c r="BI13" t="str">
        <f>_xll.RssFOPMarket(131116518,"銘柄名称")</f>
        <v>日経225オプション 26-11 P 46500</v>
      </c>
      <c r="BJ13">
        <v>1</v>
      </c>
      <c r="BK13" s="3" t="s">
        <v>13</v>
      </c>
      <c r="BL13" t="s">
        <v>16</v>
      </c>
      <c r="BM13">
        <v>46500</v>
      </c>
      <c r="BO13" t="str">
        <f>$AU$10</f>
        <v>2026/11/12</v>
      </c>
      <c r="BP13">
        <f>_xll.RssFOPMarket(131116518,"最良売気配値1")</f>
        <v>37</v>
      </c>
      <c r="BQ13">
        <f>_xll.RssFOPMarket(131116518,"最良売気配数量1")</f>
        <v>32</v>
      </c>
      <c r="BR13">
        <f>_xll.RssFOPMarket(131116518,"最良買気配値1")</f>
        <v>16</v>
      </c>
      <c r="BS13">
        <f>_xll.RssFOPMarket(131116518,"最良買気配数量1")</f>
        <v>32</v>
      </c>
      <c r="BT13">
        <f>_xll.RssFOPMarket(131116518,"現在値")</f>
        <v>0</v>
      </c>
      <c r="BU13">
        <f>_xll.RssFOPMarket(131116518,"出来高")</f>
        <v>0</v>
      </c>
      <c r="BV13">
        <f>_xll.RssFOPMarket(131116518,"売買代金")</f>
        <v>0</v>
      </c>
      <c r="BW13">
        <f>_xll.RssFOPMarket(131116518,"始値")</f>
        <v>0</v>
      </c>
      <c r="BX13">
        <f>_xll.RssFOPMarket(131116518,"高値")</f>
        <v>0</v>
      </c>
      <c r="BY13">
        <f>_xll.RssFOPMarket(131116518,"安値")</f>
        <v>0</v>
      </c>
      <c r="BZ13">
        <f>_xll.RssFOPMarket(131116518,"前日終値")</f>
        <v>27</v>
      </c>
    </row>
    <row r="14" spans="1:78">
      <c r="AQ14" s="3"/>
      <c r="BH14">
        <v>181117018</v>
      </c>
      <c r="BI14" t="str">
        <f>_xll.RssFOPMarket(181117018,"銘柄名称")</f>
        <v>日経225オプション 26-11 P 47000</v>
      </c>
      <c r="BJ14">
        <v>1</v>
      </c>
      <c r="BK14" s="3" t="s">
        <v>13</v>
      </c>
      <c r="BL14" t="s">
        <v>16</v>
      </c>
      <c r="BM14">
        <v>47000</v>
      </c>
      <c r="BO14" t="str">
        <f>$AU$10</f>
        <v>2026/11/12</v>
      </c>
      <c r="BP14">
        <f>_xll.RssFOPMarket(181117018,"最良売気配値1")</f>
        <v>32</v>
      </c>
      <c r="BQ14">
        <f>_xll.RssFOPMarket(181117018,"最良売気配数量1")</f>
        <v>12</v>
      </c>
      <c r="BR14">
        <f>_xll.RssFOPMarket(181117018,"最良買気配値1")</f>
        <v>27</v>
      </c>
      <c r="BS14">
        <f>_xll.RssFOPMarket(181117018,"最良買気配数量1")</f>
        <v>39</v>
      </c>
      <c r="BT14">
        <f>_xll.RssFOPMarket(181117018,"現在値")</f>
        <v>0</v>
      </c>
      <c r="BU14">
        <f>_xll.RssFOPMarket(181117018,"出来高")</f>
        <v>0</v>
      </c>
      <c r="BV14">
        <f>_xll.RssFOPMarket(181117018,"売買代金")</f>
        <v>0</v>
      </c>
      <c r="BW14">
        <f>_xll.RssFOPMarket(181117018,"始値")</f>
        <v>0</v>
      </c>
      <c r="BX14">
        <f>_xll.RssFOPMarket(181117018,"高値")</f>
        <v>0</v>
      </c>
      <c r="BY14">
        <f>_xll.RssFOPMarket(181117018,"安値")</f>
        <v>0</v>
      </c>
      <c r="BZ14">
        <f>_xll.RssFOPMarket(181117018,"前日終値")</f>
        <v>27</v>
      </c>
    </row>
    <row r="15" spans="1:78">
      <c r="AQ15" s="3"/>
      <c r="BH15">
        <v>131117518</v>
      </c>
      <c r="BI15" t="str">
        <f>_xll.RssFOPMarket(131117518,"銘柄名称")</f>
        <v>日経225オプション 26-11 P 47500</v>
      </c>
      <c r="BJ15">
        <v>1</v>
      </c>
      <c r="BK15" s="3" t="s">
        <v>13</v>
      </c>
      <c r="BL15" t="s">
        <v>16</v>
      </c>
      <c r="BM15">
        <v>47500</v>
      </c>
      <c r="BO15" t="str">
        <f>$AU$10</f>
        <v>2026/11/12</v>
      </c>
      <c r="BP15">
        <f>_xll.RssFOPMarket(131117518,"最良売気配値1")</f>
        <v>40</v>
      </c>
      <c r="BQ15">
        <f>_xll.RssFOPMarket(131117518,"最良売気配数量1")</f>
        <v>32</v>
      </c>
      <c r="BR15">
        <f>_xll.RssFOPMarket(131117518,"最良買気配値1")</f>
        <v>31</v>
      </c>
      <c r="BS15">
        <f>_xll.RssFOPMarket(131117518,"最良買気配数量1")</f>
        <v>8</v>
      </c>
      <c r="BT15">
        <f>_xll.RssFOPMarket(131117518,"現在値")</f>
        <v>0</v>
      </c>
      <c r="BU15">
        <f>_xll.RssFOPMarket(131117518,"出来高")</f>
        <v>0</v>
      </c>
      <c r="BV15">
        <f>_xll.RssFOPMarket(131117518,"売買代金")</f>
        <v>0</v>
      </c>
      <c r="BW15">
        <f>_xll.RssFOPMarket(131117518,"始値")</f>
        <v>0</v>
      </c>
      <c r="BX15">
        <f>_xll.RssFOPMarket(131117518,"高値")</f>
        <v>0</v>
      </c>
      <c r="BY15">
        <f>_xll.RssFOPMarket(131117518,"安値")</f>
        <v>0</v>
      </c>
      <c r="BZ15">
        <f>_xll.RssFOPMarket(131117518,"前日終値")</f>
        <v>30</v>
      </c>
    </row>
    <row r="16" spans="1:78">
      <c r="AQ16" s="3"/>
      <c r="BH16">
        <v>181118018</v>
      </c>
      <c r="BI16" t="str">
        <f>_xll.RssFOPMarket(181118018,"銘柄名称")</f>
        <v>日経225オプション 26-11 P 48000</v>
      </c>
      <c r="BJ16">
        <v>1</v>
      </c>
      <c r="BK16" s="3" t="s">
        <v>13</v>
      </c>
      <c r="BL16" t="s">
        <v>16</v>
      </c>
      <c r="BM16">
        <v>48000</v>
      </c>
      <c r="BO16" t="str">
        <f>$AU$10</f>
        <v>2026/11/12</v>
      </c>
      <c r="BP16">
        <f>_xll.RssFOPMarket(181118018,"最良売気配値1")</f>
        <v>39</v>
      </c>
      <c r="BQ16">
        <f>_xll.RssFOPMarket(181118018,"最良売気配数量1")</f>
        <v>39</v>
      </c>
      <c r="BR16">
        <f>_xll.RssFOPMarket(181118018,"最良買気配値1")</f>
        <v>34</v>
      </c>
      <c r="BS16">
        <f>_xll.RssFOPMarket(181118018,"最良買気配数量1")</f>
        <v>1</v>
      </c>
      <c r="BT16">
        <f>_xll.RssFOPMarket(181118018,"現在値")</f>
        <v>33</v>
      </c>
      <c r="BU16">
        <f>_xll.RssFOPMarket(181118018,"出来高")</f>
        <v>6</v>
      </c>
      <c r="BV16">
        <f>_xll.RssFOPMarket(181118018,"売買代金")</f>
        <v>196</v>
      </c>
      <c r="BW16">
        <f>_xll.RssFOPMarket(181118018,"始値")</f>
        <v>32</v>
      </c>
      <c r="BX16">
        <f>_xll.RssFOPMarket(181118018,"高値")</f>
        <v>33</v>
      </c>
      <c r="BY16">
        <f>_xll.RssFOPMarket(181118018,"安値")</f>
        <v>32</v>
      </c>
      <c r="BZ16">
        <f>_xll.RssFOPMarket(181118018,"前日終値")</f>
        <v>37</v>
      </c>
    </row>
    <row r="17" spans="43:78">
      <c r="AQ17" s="3"/>
      <c r="BH17">
        <v>131118518</v>
      </c>
      <c r="BI17" t="str">
        <f>_xll.RssFOPMarket(131118518,"銘柄名称")</f>
        <v>日経225オプション 26-11 P 48500</v>
      </c>
      <c r="BJ17">
        <v>1</v>
      </c>
      <c r="BK17" s="3" t="s">
        <v>13</v>
      </c>
      <c r="BL17" t="s">
        <v>16</v>
      </c>
      <c r="BM17">
        <v>48500</v>
      </c>
      <c r="BO17" t="str">
        <f>$AU$10</f>
        <v>2026/11/12</v>
      </c>
      <c r="BP17">
        <f>_xll.RssFOPMarket(131118518,"最良売気配値1")</f>
        <v>47</v>
      </c>
      <c r="BQ17">
        <f>_xll.RssFOPMarket(131118518,"最良売気配数量1")</f>
        <v>32</v>
      </c>
      <c r="BR17">
        <f>_xll.RssFOPMarket(131118518,"最良買気配値1")</f>
        <v>23</v>
      </c>
      <c r="BS17">
        <f>_xll.RssFOPMarket(131118518,"最良買気配数量1")</f>
        <v>32</v>
      </c>
      <c r="BT17">
        <f>_xll.RssFOPMarket(131118518,"現在値")</f>
        <v>0</v>
      </c>
      <c r="BU17">
        <f>_xll.RssFOPMarket(131118518,"出来高")</f>
        <v>0</v>
      </c>
      <c r="BV17">
        <f>_xll.RssFOPMarket(131118518,"売買代金")</f>
        <v>0</v>
      </c>
      <c r="BW17">
        <f>_xll.RssFOPMarket(131118518,"始値")</f>
        <v>0</v>
      </c>
      <c r="BX17">
        <f>_xll.RssFOPMarket(131118518,"高値")</f>
        <v>0</v>
      </c>
      <c r="BY17">
        <f>_xll.RssFOPMarket(131118518,"安値")</f>
        <v>0</v>
      </c>
      <c r="BZ17">
        <f>_xll.RssFOPMarket(131118518,"前日終値")</f>
        <v>40</v>
      </c>
    </row>
    <row r="18" spans="43:78">
      <c r="AQ18" s="3"/>
      <c r="BH18">
        <v>181119018</v>
      </c>
      <c r="BI18" t="str">
        <f>_xll.RssFOPMarket(181119018,"銘柄名称")</f>
        <v>日経225オプション 26-11 P 49000</v>
      </c>
      <c r="BJ18">
        <v>1</v>
      </c>
      <c r="BK18" s="3" t="s">
        <v>13</v>
      </c>
      <c r="BL18" t="s">
        <v>16</v>
      </c>
      <c r="BM18">
        <v>49000</v>
      </c>
      <c r="BO18" t="str">
        <f>$AU$10</f>
        <v>2026/11/12</v>
      </c>
      <c r="BP18">
        <f>_xll.RssFOPMarket(181119018,"最良売気配値1")</f>
        <v>44</v>
      </c>
      <c r="BQ18">
        <f>_xll.RssFOPMarket(181119018,"最良売気配数量1")</f>
        <v>39</v>
      </c>
      <c r="BR18">
        <f>_xll.RssFOPMarket(181119018,"最良買気配値1")</f>
        <v>38</v>
      </c>
      <c r="BS18">
        <f>_xll.RssFOPMarket(181119018,"最良買気配数量1")</f>
        <v>12</v>
      </c>
      <c r="BT18">
        <f>_xll.RssFOPMarket(181119018,"現在値")</f>
        <v>39</v>
      </c>
      <c r="BU18">
        <f>_xll.RssFOPMarket(181119018,"出来高")</f>
        <v>5</v>
      </c>
      <c r="BV18">
        <f>_xll.RssFOPMarket(181119018,"売買代金")</f>
        <v>193</v>
      </c>
      <c r="BW18">
        <f>_xll.RssFOPMarket(181119018,"始値")</f>
        <v>38</v>
      </c>
      <c r="BX18">
        <f>_xll.RssFOPMarket(181119018,"高値")</f>
        <v>39</v>
      </c>
      <c r="BY18">
        <f>_xll.RssFOPMarket(181119018,"安値")</f>
        <v>38</v>
      </c>
      <c r="BZ18">
        <f>_xll.RssFOPMarket(181119018,"前日終値")</f>
        <v>40</v>
      </c>
    </row>
    <row r="19" spans="43:78">
      <c r="AQ19" s="3"/>
      <c r="BH19">
        <v>131119518</v>
      </c>
      <c r="BI19" t="str">
        <f>_xll.RssFOPMarket(131119518,"銘柄名称")</f>
        <v>日経225オプション 26-11 P 49500</v>
      </c>
      <c r="BJ19">
        <v>1</v>
      </c>
      <c r="BK19" s="3" t="s">
        <v>13</v>
      </c>
      <c r="BL19" t="s">
        <v>16</v>
      </c>
      <c r="BM19">
        <v>49500</v>
      </c>
      <c r="BO19" t="str">
        <f>$AU$10</f>
        <v>2026/11/12</v>
      </c>
      <c r="BP19">
        <f>_xll.RssFOPMarket(131119518,"最良売気配値1")</f>
        <v>45</v>
      </c>
      <c r="BQ19">
        <f>_xll.RssFOPMarket(131119518,"最良売気配数量1")</f>
        <v>10</v>
      </c>
      <c r="BR19">
        <f>_xll.RssFOPMarket(131119518,"最良買気配値1")</f>
        <v>41</v>
      </c>
      <c r="BS19">
        <f>_xll.RssFOPMarket(131119518,"最良買気配数量1")</f>
        <v>31</v>
      </c>
      <c r="BT19">
        <f>_xll.RssFOPMarket(131119518,"現在値")</f>
        <v>0</v>
      </c>
      <c r="BU19">
        <f>_xll.RssFOPMarket(131119518,"出来高")</f>
        <v>0</v>
      </c>
      <c r="BV19">
        <f>_xll.RssFOPMarket(131119518,"売買代金")</f>
        <v>0</v>
      </c>
      <c r="BW19">
        <f>_xll.RssFOPMarket(131119518,"始値")</f>
        <v>0</v>
      </c>
      <c r="BX19">
        <f>_xll.RssFOPMarket(131119518,"高値")</f>
        <v>0</v>
      </c>
      <c r="BY19">
        <f>_xll.RssFOPMarket(131119518,"安値")</f>
        <v>0</v>
      </c>
      <c r="BZ19">
        <f>_xll.RssFOPMarket(131119518,"前日終値")</f>
        <v>57</v>
      </c>
    </row>
    <row r="20" spans="43:78">
      <c r="AQ20" s="3"/>
      <c r="BH20">
        <v>181110018</v>
      </c>
      <c r="BI20" t="str">
        <f>_xll.RssFOPMarket(181110018,"銘柄名称")</f>
        <v>日経225オプション 26-11 P 50000</v>
      </c>
      <c r="BJ20">
        <v>1</v>
      </c>
      <c r="BK20" s="3" t="s">
        <v>13</v>
      </c>
      <c r="BL20" t="s">
        <v>16</v>
      </c>
      <c r="BM20">
        <v>50000</v>
      </c>
      <c r="BO20" t="str">
        <f>$AU$10</f>
        <v>2026/11/12</v>
      </c>
      <c r="BP20">
        <f>_xll.RssFOPMarket(181110018,"最良売気配値1")</f>
        <v>49</v>
      </c>
      <c r="BQ20">
        <f>_xll.RssFOPMarket(181110018,"最良売気配数量1")</f>
        <v>44</v>
      </c>
      <c r="BR20">
        <f>_xll.RssFOPMarket(181110018,"最良買気配値1")</f>
        <v>45</v>
      </c>
      <c r="BS20">
        <f>_xll.RssFOPMarket(181110018,"最良買気配数量1")</f>
        <v>12</v>
      </c>
      <c r="BT20">
        <f>_xll.RssFOPMarket(181110018,"現在値")</f>
        <v>45</v>
      </c>
      <c r="BU20">
        <f>_xll.RssFOPMarket(181110018,"出来高")</f>
        <v>26</v>
      </c>
      <c r="BV20">
        <f>_xll.RssFOPMarket(181110018,"売買代金")</f>
        <v>1168</v>
      </c>
      <c r="BW20">
        <f>_xll.RssFOPMarket(181110018,"始値")</f>
        <v>44</v>
      </c>
      <c r="BX20">
        <f>_xll.RssFOPMarket(181110018,"高値")</f>
        <v>45</v>
      </c>
      <c r="BY20">
        <f>_xll.RssFOPMarket(181110018,"安値")</f>
        <v>44</v>
      </c>
      <c r="BZ20">
        <f>_xll.RssFOPMarket(181110018,"前日終値")</f>
        <v>47</v>
      </c>
    </row>
    <row r="21" spans="43:78">
      <c r="AQ21" s="3"/>
      <c r="BH21">
        <v>131110518</v>
      </c>
      <c r="BI21" t="str">
        <f>_xll.RssFOPMarket(131110518,"銘柄名称")</f>
        <v>日経225オプション 26-11 P 50500</v>
      </c>
      <c r="BJ21">
        <v>1</v>
      </c>
      <c r="BK21" s="3" t="s">
        <v>13</v>
      </c>
      <c r="BL21" t="s">
        <v>16</v>
      </c>
      <c r="BM21">
        <v>50500</v>
      </c>
      <c r="BO21" t="str">
        <f>$AU$10</f>
        <v>2026/11/12</v>
      </c>
      <c r="BP21">
        <f>_xll.RssFOPMarket(131110518,"最良売気配値1")</f>
        <v>52</v>
      </c>
      <c r="BQ21">
        <f>_xll.RssFOPMarket(131110518,"最良売気配数量1")</f>
        <v>31</v>
      </c>
      <c r="BR21">
        <f>_xll.RssFOPMarket(131110518,"最良買気配値1")</f>
        <v>47</v>
      </c>
      <c r="BS21">
        <f>_xll.RssFOPMarket(131110518,"最良買気配数量1")</f>
        <v>31</v>
      </c>
      <c r="BT21">
        <f>_xll.RssFOPMarket(131110518,"現在値")</f>
        <v>0</v>
      </c>
      <c r="BU21">
        <f>_xll.RssFOPMarket(131110518,"出来高")</f>
        <v>0</v>
      </c>
      <c r="BV21">
        <f>_xll.RssFOPMarket(131110518,"売買代金")</f>
        <v>0</v>
      </c>
      <c r="BW21">
        <f>_xll.RssFOPMarket(131110518,"始値")</f>
        <v>0</v>
      </c>
      <c r="BX21">
        <f>_xll.RssFOPMarket(131110518,"高値")</f>
        <v>0</v>
      </c>
      <c r="BY21">
        <f>_xll.RssFOPMarket(131110518,"安値")</f>
        <v>0</v>
      </c>
      <c r="BZ21">
        <f>_xll.RssFOPMarket(131110518,"前日終値")</f>
        <v>50</v>
      </c>
    </row>
    <row r="22" spans="43:78">
      <c r="AQ22" s="3"/>
      <c r="BH22">
        <v>181111018</v>
      </c>
      <c r="BI22" t="str">
        <f>_xll.RssFOPMarket(181111018,"銘柄名称")</f>
        <v>日経225オプション 26-11 P 51000</v>
      </c>
      <c r="BJ22">
        <v>1</v>
      </c>
      <c r="BK22" s="3" t="s">
        <v>13</v>
      </c>
      <c r="BL22" t="s">
        <v>16</v>
      </c>
      <c r="BM22">
        <v>51000</v>
      </c>
      <c r="BO22" t="str">
        <f>$AU$10</f>
        <v>2026/11/12</v>
      </c>
      <c r="BP22">
        <f>_xll.RssFOPMarket(181111018,"最良売気配値1")</f>
        <v>55</v>
      </c>
      <c r="BQ22">
        <f>_xll.RssFOPMarket(181111018,"最良売気配数量1")</f>
        <v>12</v>
      </c>
      <c r="BR22">
        <f>_xll.RssFOPMarket(181111018,"最良買気配値1")</f>
        <v>51</v>
      </c>
      <c r="BS22">
        <f>_xll.RssFOPMarket(181111018,"最良買気配数量1")</f>
        <v>44</v>
      </c>
      <c r="BT22">
        <f>_xll.RssFOPMarket(181111018,"現在値")</f>
        <v>54</v>
      </c>
      <c r="BU22">
        <f>_xll.RssFOPMarket(181111018,"出来高")</f>
        <v>3</v>
      </c>
      <c r="BV22">
        <f>_xll.RssFOPMarket(181111018,"売買代金")</f>
        <v>155</v>
      </c>
      <c r="BW22">
        <f>_xll.RssFOPMarket(181111018,"始値")</f>
        <v>51</v>
      </c>
      <c r="BX22">
        <f>_xll.RssFOPMarket(181111018,"高値")</f>
        <v>54</v>
      </c>
      <c r="BY22">
        <f>_xll.RssFOPMarket(181111018,"安値")</f>
        <v>50</v>
      </c>
      <c r="BZ22">
        <f>_xll.RssFOPMarket(181111018,"前日終値")</f>
        <v>56</v>
      </c>
    </row>
    <row r="23" spans="43:78">
      <c r="AQ23" s="3"/>
      <c r="BH23">
        <v>131111518</v>
      </c>
      <c r="BI23" t="str">
        <f>_xll.RssFOPMarket(131111518,"銘柄名称")</f>
        <v>日経225オプション 26-11 P 51500</v>
      </c>
      <c r="BJ23">
        <v>1</v>
      </c>
      <c r="BK23" s="3" t="s">
        <v>13</v>
      </c>
      <c r="BL23" t="s">
        <v>16</v>
      </c>
      <c r="BM23">
        <v>51500</v>
      </c>
      <c r="BO23" t="str">
        <f>$AU$10</f>
        <v>2026/11/12</v>
      </c>
      <c r="BP23">
        <f>_xll.RssFOPMarket(131111518,"最良売気配値1")</f>
        <v>60</v>
      </c>
      <c r="BQ23">
        <f>_xll.RssFOPMarket(131111518,"最良売気配数量1")</f>
        <v>31</v>
      </c>
      <c r="BR23">
        <f>_xll.RssFOPMarket(131111518,"最良買気配値1")</f>
        <v>56</v>
      </c>
      <c r="BS23">
        <f>_xll.RssFOPMarket(131111518,"最良買気配数量1")</f>
        <v>8</v>
      </c>
      <c r="BT23">
        <f>_xll.RssFOPMarket(131111518,"現在値")</f>
        <v>0</v>
      </c>
      <c r="BU23">
        <f>_xll.RssFOPMarket(131111518,"出来高")</f>
        <v>0</v>
      </c>
      <c r="BV23">
        <f>_xll.RssFOPMarket(131111518,"売買代金")</f>
        <v>0</v>
      </c>
      <c r="BW23">
        <f>_xll.RssFOPMarket(131111518,"始値")</f>
        <v>0</v>
      </c>
      <c r="BX23">
        <f>_xll.RssFOPMarket(131111518,"高値")</f>
        <v>0</v>
      </c>
      <c r="BY23">
        <f>_xll.RssFOPMarket(131111518,"安値")</f>
        <v>0</v>
      </c>
      <c r="BZ23">
        <f>_xll.RssFOPMarket(131111518,"前日終値")</f>
        <v>53</v>
      </c>
    </row>
    <row r="24" spans="43:78">
      <c r="AQ24" s="3"/>
      <c r="BH24">
        <v>181112018</v>
      </c>
      <c r="BI24" t="str">
        <f>_xll.RssFOPMarket(181112018,"銘柄名称")</f>
        <v>日経225オプション 26-11 P 52000</v>
      </c>
      <c r="BJ24">
        <v>1</v>
      </c>
      <c r="BK24" s="3" t="s">
        <v>13</v>
      </c>
      <c r="BL24" t="s">
        <v>16</v>
      </c>
      <c r="BM24">
        <v>52000</v>
      </c>
      <c r="BO24" t="str">
        <f>$AU$10</f>
        <v>2026/11/12</v>
      </c>
      <c r="BP24">
        <f>_xll.RssFOPMarket(181112018,"最良売気配値1")</f>
        <v>63</v>
      </c>
      <c r="BQ24">
        <f>_xll.RssFOPMarket(181112018,"最良売気配数量1")</f>
        <v>12</v>
      </c>
      <c r="BR24">
        <f>_xll.RssFOPMarket(181112018,"最良買気配値1")</f>
        <v>59</v>
      </c>
      <c r="BS24">
        <f>_xll.RssFOPMarket(181112018,"最良買気配数量1")</f>
        <v>44</v>
      </c>
      <c r="BT24">
        <f>_xll.RssFOPMarket(181112018,"現在値")</f>
        <v>62</v>
      </c>
      <c r="BU24">
        <f>_xll.RssFOPMarket(181112018,"出来高")</f>
        <v>16</v>
      </c>
      <c r="BV24">
        <f>_xll.RssFOPMarket(181112018,"売買代金")</f>
        <v>934</v>
      </c>
      <c r="BW24">
        <f>_xll.RssFOPMarket(181112018,"始値")</f>
        <v>59</v>
      </c>
      <c r="BX24">
        <f>_xll.RssFOPMarket(181112018,"高値")</f>
        <v>62</v>
      </c>
      <c r="BY24">
        <f>_xll.RssFOPMarket(181112018,"安値")</f>
        <v>57</v>
      </c>
      <c r="BZ24">
        <f>_xll.RssFOPMarket(181112018,"前日終値")</f>
        <v>64</v>
      </c>
    </row>
    <row r="25" spans="43:78">
      <c r="AQ25" s="3"/>
      <c r="BH25">
        <v>131112518</v>
      </c>
      <c r="BI25" t="str">
        <f>_xll.RssFOPMarket(131112518,"銘柄名称")</f>
        <v>日経225オプション 26-11 P 52500</v>
      </c>
      <c r="BJ25">
        <v>1</v>
      </c>
      <c r="BK25" s="3" t="s">
        <v>13</v>
      </c>
      <c r="BL25" t="s">
        <v>16</v>
      </c>
      <c r="BM25">
        <v>52500</v>
      </c>
      <c r="BO25" t="str">
        <f>$AU$10</f>
        <v>2026/11/12</v>
      </c>
      <c r="BP25">
        <f>_xll.RssFOPMarket(131112518,"最良売気配値1")</f>
        <v>68</v>
      </c>
      <c r="BQ25">
        <f>_xll.RssFOPMarket(131112518,"最良売気配数量1")</f>
        <v>8</v>
      </c>
      <c r="BR25">
        <f>_xll.RssFOPMarket(131112518,"最良買気配値1")</f>
        <v>65</v>
      </c>
      <c r="BS25">
        <f>_xll.RssFOPMarket(131112518,"最良買気配数量1")</f>
        <v>8</v>
      </c>
      <c r="BT25">
        <f>_xll.RssFOPMarket(131112518,"現在値")</f>
        <v>0</v>
      </c>
      <c r="BU25">
        <f>_xll.RssFOPMarket(131112518,"出来高")</f>
        <v>0</v>
      </c>
      <c r="BV25">
        <f>_xll.RssFOPMarket(131112518,"売買代金")</f>
        <v>0</v>
      </c>
      <c r="BW25">
        <f>_xll.RssFOPMarket(131112518,"始値")</f>
        <v>0</v>
      </c>
      <c r="BX25">
        <f>_xll.RssFOPMarket(131112518,"高値")</f>
        <v>0</v>
      </c>
      <c r="BY25">
        <f>_xll.RssFOPMarket(131112518,"安値")</f>
        <v>0</v>
      </c>
      <c r="BZ25">
        <f>_xll.RssFOPMarket(131112518,"前日終値")</f>
        <v>60</v>
      </c>
    </row>
    <row r="26" spans="43:78">
      <c r="AQ26" s="3"/>
      <c r="BH26">
        <v>181113018</v>
      </c>
      <c r="BI26" t="str">
        <f>_xll.RssFOPMarket(181113018,"銘柄名称")</f>
        <v>日経225オプション 26-11 P 53000</v>
      </c>
      <c r="BJ26">
        <v>1</v>
      </c>
      <c r="BK26" s="3" t="s">
        <v>13</v>
      </c>
      <c r="BL26" t="s">
        <v>16</v>
      </c>
      <c r="BM26">
        <v>53000</v>
      </c>
      <c r="BO26" t="str">
        <f>$AU$10</f>
        <v>2026/11/12</v>
      </c>
      <c r="BP26">
        <f>_xll.RssFOPMarket(181113018,"最良売気配値1")</f>
        <v>74</v>
      </c>
      <c r="BQ26">
        <f>_xll.RssFOPMarket(181113018,"最良売気配数量1")</f>
        <v>44</v>
      </c>
      <c r="BR26">
        <f>_xll.RssFOPMarket(181113018,"最良買気配値1")</f>
        <v>70</v>
      </c>
      <c r="BS26">
        <f>_xll.RssFOPMarket(181113018,"最良買気配数量1")</f>
        <v>12</v>
      </c>
      <c r="BT26">
        <f>_xll.RssFOPMarket(181113018,"現在値")</f>
        <v>66</v>
      </c>
      <c r="BU26">
        <f>_xll.RssFOPMarket(181113018,"出来高")</f>
        <v>2</v>
      </c>
      <c r="BV26">
        <f>_xll.RssFOPMarket(181113018,"売買代金")</f>
        <v>133</v>
      </c>
      <c r="BW26">
        <f>_xll.RssFOPMarket(181113018,"始値")</f>
        <v>67</v>
      </c>
      <c r="BX26">
        <f>_xll.RssFOPMarket(181113018,"高値")</f>
        <v>67</v>
      </c>
      <c r="BY26">
        <f>_xll.RssFOPMarket(181113018,"安値")</f>
        <v>66</v>
      </c>
      <c r="BZ26">
        <f>_xll.RssFOPMarket(181113018,"前日終値")</f>
        <v>74</v>
      </c>
    </row>
    <row r="27" spans="43:78">
      <c r="AQ27" s="3"/>
      <c r="BH27">
        <v>131113518</v>
      </c>
      <c r="BI27" t="str">
        <f>_xll.RssFOPMarket(131113518,"銘柄名称")</f>
        <v>日経225オプション 26-11 P 53500</v>
      </c>
      <c r="BJ27">
        <v>1</v>
      </c>
      <c r="BK27" s="3" t="s">
        <v>13</v>
      </c>
      <c r="BL27" t="s">
        <v>16</v>
      </c>
      <c r="BM27">
        <v>53500</v>
      </c>
      <c r="BO27" t="str">
        <f>$AU$10</f>
        <v>2026/11/12</v>
      </c>
      <c r="BP27">
        <f>_xll.RssFOPMarket(131113518,"最良売気配値1")</f>
        <v>79</v>
      </c>
      <c r="BQ27">
        <f>_xll.RssFOPMarket(131113518,"最良売気配数量1")</f>
        <v>8</v>
      </c>
      <c r="BR27">
        <f>_xll.RssFOPMarket(131113518,"最良買気配値1")</f>
        <v>74</v>
      </c>
      <c r="BS27">
        <f>_xll.RssFOPMarket(131113518,"最良買気配数量1")</f>
        <v>31</v>
      </c>
      <c r="BT27">
        <f>_xll.RssFOPMarket(131113518,"現在値")</f>
        <v>0</v>
      </c>
      <c r="BU27">
        <f>_xll.RssFOPMarket(131113518,"出来高")</f>
        <v>0</v>
      </c>
      <c r="BV27">
        <f>_xll.RssFOPMarket(131113518,"売買代金")</f>
        <v>0</v>
      </c>
      <c r="BW27">
        <f>_xll.RssFOPMarket(131113518,"始値")</f>
        <v>0</v>
      </c>
      <c r="BX27">
        <f>_xll.RssFOPMarket(131113518,"高値")</f>
        <v>0</v>
      </c>
      <c r="BY27">
        <f>_xll.RssFOPMarket(131113518,"安値")</f>
        <v>0</v>
      </c>
      <c r="BZ27">
        <f>_xll.RssFOPMarket(131113518,"前日終値")</f>
        <v>70</v>
      </c>
    </row>
    <row r="28" spans="43:78">
      <c r="AQ28" s="3"/>
      <c r="BH28">
        <v>181114018</v>
      </c>
      <c r="BI28" t="str">
        <f>_xll.RssFOPMarket(181114018,"銘柄名称")</f>
        <v>日経225オプション 26-11 P 54000</v>
      </c>
      <c r="BJ28">
        <v>1</v>
      </c>
      <c r="BK28" s="3" t="s">
        <v>13</v>
      </c>
      <c r="BL28" t="s">
        <v>16</v>
      </c>
      <c r="BM28">
        <v>54000</v>
      </c>
      <c r="BO28" t="str">
        <f>$AU$10</f>
        <v>2026/11/12</v>
      </c>
      <c r="BP28">
        <f>_xll.RssFOPMarket(181114018,"最良売気配値1")</f>
        <v>85</v>
      </c>
      <c r="BQ28">
        <f>_xll.RssFOPMarket(181114018,"最良売気配数量1")</f>
        <v>12</v>
      </c>
      <c r="BR28">
        <f>_xll.RssFOPMarket(181114018,"最良買気配値1")</f>
        <v>80</v>
      </c>
      <c r="BS28">
        <f>_xll.RssFOPMarket(181114018,"最良買気配数量1")</f>
        <v>44</v>
      </c>
      <c r="BT28">
        <f>_xll.RssFOPMarket(181114018,"現在値")</f>
        <v>84</v>
      </c>
      <c r="BU28">
        <f>_xll.RssFOPMarket(181114018,"出来高")</f>
        <v>6</v>
      </c>
      <c r="BV28">
        <f>_xll.RssFOPMarket(181114018,"売買代金")</f>
        <v>490</v>
      </c>
      <c r="BW28">
        <f>_xll.RssFOPMarket(181114018,"始値")</f>
        <v>81</v>
      </c>
      <c r="BX28">
        <f>_xll.RssFOPMarket(181114018,"高値")</f>
        <v>84</v>
      </c>
      <c r="BY28">
        <f>_xll.RssFOPMarket(181114018,"安値")</f>
        <v>80</v>
      </c>
      <c r="BZ28">
        <f>_xll.RssFOPMarket(181114018,"前日終値")</f>
        <v>85</v>
      </c>
    </row>
    <row r="29" spans="43:78">
      <c r="AQ29" s="3"/>
      <c r="BH29">
        <v>131114518</v>
      </c>
      <c r="BI29" t="str">
        <f>_xll.RssFOPMarket(131114518,"銘柄名称")</f>
        <v>日経225オプション 26-11 P 54500</v>
      </c>
      <c r="BJ29">
        <v>1</v>
      </c>
      <c r="BK29" s="3" t="s">
        <v>13</v>
      </c>
      <c r="BL29" t="s">
        <v>16</v>
      </c>
      <c r="BM29">
        <v>54500</v>
      </c>
      <c r="BO29" t="str">
        <f>$AU$10</f>
        <v>2026/11/12</v>
      </c>
      <c r="BP29">
        <f>_xll.RssFOPMarket(131114518,"最良売気配値1")</f>
        <v>93</v>
      </c>
      <c r="BQ29">
        <f>_xll.RssFOPMarket(131114518,"最良売気配数量1")</f>
        <v>31</v>
      </c>
      <c r="BR29">
        <f>_xll.RssFOPMarket(131114518,"最良買気配値1")</f>
        <v>88</v>
      </c>
      <c r="BS29">
        <f>_xll.RssFOPMarket(131114518,"最良買気配数量1")</f>
        <v>8</v>
      </c>
      <c r="BT29">
        <f>_xll.RssFOPMarket(131114518,"現在値")</f>
        <v>87</v>
      </c>
      <c r="BU29">
        <f>_xll.RssFOPMarket(131114518,"出来高")</f>
        <v>1</v>
      </c>
      <c r="BV29">
        <f>_xll.RssFOPMarket(131114518,"売買代金")</f>
        <v>87</v>
      </c>
      <c r="BW29">
        <f>_xll.RssFOPMarket(131114518,"始値")</f>
        <v>87</v>
      </c>
      <c r="BX29">
        <f>_xll.RssFOPMarket(131114518,"高値")</f>
        <v>87</v>
      </c>
      <c r="BY29">
        <f>_xll.RssFOPMarket(131114518,"安値")</f>
        <v>87</v>
      </c>
      <c r="BZ29">
        <f>_xll.RssFOPMarket(131114518,"前日終値")</f>
        <v>94</v>
      </c>
    </row>
    <row r="30" spans="43:78">
      <c r="AQ30" s="3"/>
      <c r="BH30">
        <v>181115018</v>
      </c>
      <c r="BI30" t="str">
        <f>_xll.RssFOPMarket(181115018,"銘柄名称")</f>
        <v>日経225オプション 26-11 P 55000</v>
      </c>
      <c r="BJ30">
        <v>1</v>
      </c>
      <c r="BK30" s="3" t="s">
        <v>13</v>
      </c>
      <c r="BL30" t="s">
        <v>16</v>
      </c>
      <c r="BM30">
        <v>55000</v>
      </c>
      <c r="BO30" t="str">
        <f>$AU$10</f>
        <v>2026/11/12</v>
      </c>
      <c r="BP30">
        <f>_xll.RssFOPMarket(181115018,"最良売気配値1")</f>
        <v>99</v>
      </c>
      <c r="BQ30">
        <f>_xll.RssFOPMarket(181115018,"最良売気配数量1")</f>
        <v>12</v>
      </c>
      <c r="BR30">
        <f>_xll.RssFOPMarket(181115018,"最良買気配値1")</f>
        <v>94</v>
      </c>
      <c r="BS30">
        <f>_xll.RssFOPMarket(181115018,"最良買気配数量1")</f>
        <v>44</v>
      </c>
      <c r="BT30">
        <f>_xll.RssFOPMarket(181115018,"現在値")</f>
        <v>94</v>
      </c>
      <c r="BU30">
        <f>_xll.RssFOPMarket(181115018,"出来高")</f>
        <v>12</v>
      </c>
      <c r="BV30">
        <f>_xll.RssFOPMarket(181115018,"売買代金")</f>
        <v>1116</v>
      </c>
      <c r="BW30">
        <f>_xll.RssFOPMarket(181115018,"始値")</f>
        <v>90</v>
      </c>
      <c r="BX30">
        <f>_xll.RssFOPMarket(181115018,"高値")</f>
        <v>94</v>
      </c>
      <c r="BY30">
        <f>_xll.RssFOPMarket(181115018,"安値")</f>
        <v>90</v>
      </c>
      <c r="BZ30">
        <f>_xll.RssFOPMarket(181115018,"前日終値")</f>
        <v>101</v>
      </c>
    </row>
    <row r="31" spans="43:78">
      <c r="AQ31" s="3"/>
      <c r="BH31">
        <v>181115518</v>
      </c>
      <c r="BI31" t="str">
        <f>_xll.RssFOPMarket(181115518,"銘柄名称")</f>
        <v>日経225オプション 26-11 P 55500</v>
      </c>
      <c r="BJ31">
        <v>1</v>
      </c>
      <c r="BK31" s="3" t="s">
        <v>13</v>
      </c>
      <c r="BL31" t="s">
        <v>16</v>
      </c>
      <c r="BM31">
        <v>55500</v>
      </c>
      <c r="BO31" t="str">
        <f>$AU$10</f>
        <v>2026/11/12</v>
      </c>
      <c r="BP31">
        <f>_xll.RssFOPMarket(181115518,"最良売気配値1")</f>
        <v>108</v>
      </c>
      <c r="BQ31">
        <f>_xll.RssFOPMarket(181115518,"最良売気配数量1")</f>
        <v>8</v>
      </c>
      <c r="BR31">
        <f>_xll.RssFOPMarket(181115518,"最良買気配値1")</f>
        <v>102</v>
      </c>
      <c r="BS31">
        <f>_xll.RssFOPMarket(181115518,"最良買気配数量1")</f>
        <v>31</v>
      </c>
      <c r="BT31">
        <f>_xll.RssFOPMarket(181115518,"現在値")</f>
        <v>0</v>
      </c>
      <c r="BU31">
        <f>_xll.RssFOPMarket(181115518,"出来高")</f>
        <v>0</v>
      </c>
      <c r="BV31">
        <f>_xll.RssFOPMarket(181115518,"売買代金")</f>
        <v>0</v>
      </c>
      <c r="BW31">
        <f>_xll.RssFOPMarket(181115518,"始値")</f>
        <v>0</v>
      </c>
      <c r="BX31">
        <f>_xll.RssFOPMarket(181115518,"高値")</f>
        <v>0</v>
      </c>
      <c r="BY31">
        <f>_xll.RssFOPMarket(181115518,"安値")</f>
        <v>0</v>
      </c>
      <c r="BZ31">
        <f>_xll.RssFOPMarket(181115518,"前日終値")</f>
        <v>105</v>
      </c>
    </row>
    <row r="32" spans="43:78">
      <c r="AQ32" s="3"/>
      <c r="BH32">
        <v>131236018</v>
      </c>
      <c r="BI32" t="str">
        <f>_xll.RssFOPMarket(131236018,"銘柄名称")</f>
        <v>日経225オプション 26-11 P 56000</v>
      </c>
      <c r="BJ32">
        <v>1</v>
      </c>
      <c r="BK32" s="3" t="s">
        <v>13</v>
      </c>
      <c r="BL32" t="s">
        <v>16</v>
      </c>
      <c r="BM32">
        <v>56000</v>
      </c>
      <c r="BO32" t="str">
        <f>$AU$10</f>
        <v>2026/11/12</v>
      </c>
      <c r="BP32">
        <f>_xll.RssFOPMarket(131236018,"最良売気配値1")</f>
        <v>118</v>
      </c>
      <c r="BQ32">
        <f>_xll.RssFOPMarket(131236018,"最良売気配数量1")</f>
        <v>44</v>
      </c>
      <c r="BR32">
        <f>_xll.RssFOPMarket(131236018,"最良買気配値1")</f>
        <v>112</v>
      </c>
      <c r="BS32">
        <f>_xll.RssFOPMarket(131236018,"最良買気配数量1")</f>
        <v>12</v>
      </c>
      <c r="BT32">
        <f>_xll.RssFOPMarket(131236018,"現在値")</f>
        <v>115</v>
      </c>
      <c r="BU32">
        <f>_xll.RssFOPMarket(131236018,"出来高")</f>
        <v>22</v>
      </c>
      <c r="BV32">
        <f>_xll.RssFOPMarket(131236018,"売買代金")</f>
        <v>2454</v>
      </c>
      <c r="BW32">
        <f>_xll.RssFOPMarket(131236018,"始値")</f>
        <v>113</v>
      </c>
      <c r="BX32">
        <f>_xll.RssFOPMarket(131236018,"高値")</f>
        <v>115</v>
      </c>
      <c r="BY32">
        <f>_xll.RssFOPMarket(131236018,"安値")</f>
        <v>106</v>
      </c>
      <c r="BZ32">
        <f>_xll.RssFOPMarket(131236018,"前日終値")</f>
        <v>117</v>
      </c>
    </row>
    <row r="33" spans="43:78">
      <c r="AQ33" s="3"/>
      <c r="BH33">
        <v>181116518</v>
      </c>
      <c r="BI33" t="str">
        <f>_xll.RssFOPMarket(181116518,"銘柄名称")</f>
        <v>日経225オプション 26-11 P 56500</v>
      </c>
      <c r="BJ33">
        <v>1</v>
      </c>
      <c r="BK33" s="3" t="s">
        <v>13</v>
      </c>
      <c r="BL33" t="s">
        <v>16</v>
      </c>
      <c r="BM33">
        <v>56500</v>
      </c>
      <c r="BO33" t="str">
        <f>$AU$10</f>
        <v>2026/11/12</v>
      </c>
      <c r="BP33">
        <f>_xll.RssFOPMarket(181116518,"最良売気配値1")</f>
        <v>128</v>
      </c>
      <c r="BQ33">
        <f>_xll.RssFOPMarket(181116518,"最良売気配数量1")</f>
        <v>8</v>
      </c>
      <c r="BR33">
        <f>_xll.RssFOPMarket(181116518,"最良買気配値1")</f>
        <v>122</v>
      </c>
      <c r="BS33">
        <f>_xll.RssFOPMarket(181116518,"最良買気配数量1")</f>
        <v>8</v>
      </c>
      <c r="BT33">
        <f>_xll.RssFOPMarket(181116518,"現在値")</f>
        <v>0</v>
      </c>
      <c r="BU33">
        <f>_xll.RssFOPMarket(181116518,"出来高")</f>
        <v>0</v>
      </c>
      <c r="BV33">
        <f>_xll.RssFOPMarket(181116518,"売買代金")</f>
        <v>0</v>
      </c>
      <c r="BW33">
        <f>_xll.RssFOPMarket(181116518,"始値")</f>
        <v>0</v>
      </c>
      <c r="BX33">
        <f>_xll.RssFOPMarket(181116518,"高値")</f>
        <v>0</v>
      </c>
      <c r="BY33">
        <f>_xll.RssFOPMarket(181116518,"安値")</f>
        <v>0</v>
      </c>
      <c r="BZ33">
        <f>_xll.RssFOPMarket(181116518,"前日終値")</f>
        <v>140</v>
      </c>
    </row>
    <row r="34" spans="43:78">
      <c r="AQ34" s="3"/>
      <c r="BH34">
        <v>131237018</v>
      </c>
      <c r="BI34" t="str">
        <f>_xll.RssFOPMarket(131237018,"銘柄名称")</f>
        <v>日経225オプション 26-11 P 57000</v>
      </c>
      <c r="BJ34">
        <v>1</v>
      </c>
      <c r="BK34" s="3" t="s">
        <v>13</v>
      </c>
      <c r="BL34" t="s">
        <v>16</v>
      </c>
      <c r="BM34">
        <v>57000</v>
      </c>
      <c r="BO34" t="str">
        <f>$AU$10</f>
        <v>2026/11/12</v>
      </c>
      <c r="BP34">
        <f>_xll.RssFOPMarket(131237018,"最良売気配値1")</f>
        <v>138</v>
      </c>
      <c r="BQ34">
        <f>_xll.RssFOPMarket(131237018,"最良売気配数量1")</f>
        <v>1</v>
      </c>
      <c r="BR34">
        <f>_xll.RssFOPMarket(131237018,"最良買気配値1")</f>
        <v>133</v>
      </c>
      <c r="BS34">
        <f>_xll.RssFOPMarket(131237018,"最良買気配数量1")</f>
        <v>12</v>
      </c>
      <c r="BT34">
        <f>_xll.RssFOPMarket(131237018,"現在値")</f>
        <v>135</v>
      </c>
      <c r="BU34">
        <f>_xll.RssFOPMarket(131237018,"出来高")</f>
        <v>4</v>
      </c>
      <c r="BV34">
        <f>_xll.RssFOPMarket(131237018,"売買代金")</f>
        <v>527</v>
      </c>
      <c r="BW34">
        <f>_xll.RssFOPMarket(131237018,"始値")</f>
        <v>131</v>
      </c>
      <c r="BX34">
        <f>_xll.RssFOPMarket(131237018,"高値")</f>
        <v>135</v>
      </c>
      <c r="BY34">
        <f>_xll.RssFOPMarket(131237018,"安値")</f>
        <v>130</v>
      </c>
      <c r="BZ34">
        <f>_xll.RssFOPMarket(131237018,"前日終値")</f>
        <v>142</v>
      </c>
    </row>
    <row r="35" spans="43:78">
      <c r="AQ35" s="3"/>
      <c r="BH35">
        <v>181117518</v>
      </c>
      <c r="BI35" t="str">
        <f>_xll.RssFOPMarket(181117518,"銘柄名称")</f>
        <v>日経225オプション 26-11 P 57500</v>
      </c>
      <c r="BJ35">
        <v>1</v>
      </c>
      <c r="BK35" s="3" t="s">
        <v>13</v>
      </c>
      <c r="BL35" t="s">
        <v>16</v>
      </c>
      <c r="BM35">
        <v>57500</v>
      </c>
      <c r="BO35" t="str">
        <f>$AU$10</f>
        <v>2026/11/12</v>
      </c>
      <c r="BP35">
        <f>_xll.RssFOPMarket(181117518,"最良売気配値1")</f>
        <v>154</v>
      </c>
      <c r="BQ35">
        <f>_xll.RssFOPMarket(181117518,"最良売気配数量1")</f>
        <v>29</v>
      </c>
      <c r="BR35">
        <f>_xll.RssFOPMarket(181117518,"最良買気配値1")</f>
        <v>145</v>
      </c>
      <c r="BS35">
        <f>_xll.RssFOPMarket(181117518,"最良買気配数量1")</f>
        <v>29</v>
      </c>
      <c r="BT35">
        <f>_xll.RssFOPMarket(181117518,"現在値")</f>
        <v>0</v>
      </c>
      <c r="BU35">
        <f>_xll.RssFOPMarket(181117518,"出来高")</f>
        <v>0</v>
      </c>
      <c r="BV35">
        <f>_xll.RssFOPMarket(181117518,"売買代金")</f>
        <v>0</v>
      </c>
      <c r="BW35">
        <f>_xll.RssFOPMarket(181117518,"始値")</f>
        <v>0</v>
      </c>
      <c r="BX35">
        <f>_xll.RssFOPMarket(181117518,"高値")</f>
        <v>0</v>
      </c>
      <c r="BY35">
        <f>_xll.RssFOPMarket(181117518,"安値")</f>
        <v>0</v>
      </c>
      <c r="BZ35">
        <f>_xll.RssFOPMarket(181117518,"前日終値")</f>
        <v>138</v>
      </c>
    </row>
    <row r="36" spans="43:78">
      <c r="AQ36" s="3"/>
      <c r="BH36">
        <v>131238018</v>
      </c>
      <c r="BI36" t="str">
        <f>_xll.RssFOPMarket(131238018,"銘柄名称")</f>
        <v>日経225オプション 26-11 P 58000</v>
      </c>
      <c r="BJ36">
        <v>1</v>
      </c>
      <c r="BK36" s="3" t="s">
        <v>13</v>
      </c>
      <c r="BL36" t="s">
        <v>16</v>
      </c>
      <c r="BM36">
        <v>58000</v>
      </c>
      <c r="BO36" t="str">
        <f>$AU$10</f>
        <v>2026/11/12</v>
      </c>
      <c r="BP36">
        <f>_xll.RssFOPMarket(131238018,"最良売気配値1")</f>
        <v>166</v>
      </c>
      <c r="BQ36">
        <f>_xll.RssFOPMarket(131238018,"最良売気配数量1")</f>
        <v>12</v>
      </c>
      <c r="BR36">
        <f>_xll.RssFOPMarket(131238018,"最良買気配値1")</f>
        <v>159</v>
      </c>
      <c r="BS36">
        <f>_xll.RssFOPMarket(131238018,"最良買気配数量1")</f>
        <v>41</v>
      </c>
      <c r="BT36">
        <f>_xll.RssFOPMarket(131238018,"現在値")</f>
        <v>165</v>
      </c>
      <c r="BU36">
        <f>_xll.RssFOPMarket(131238018,"出来高")</f>
        <v>45</v>
      </c>
      <c r="BV36">
        <f>_xll.RssFOPMarket(131238018,"売買代金")</f>
        <v>7166</v>
      </c>
      <c r="BW36">
        <f>_xll.RssFOPMarket(131238018,"始値")</f>
        <v>160</v>
      </c>
      <c r="BX36">
        <f>_xll.RssFOPMarket(131238018,"高値")</f>
        <v>166</v>
      </c>
      <c r="BY36">
        <f>_xll.RssFOPMarket(131238018,"安値")</f>
        <v>151</v>
      </c>
      <c r="BZ36">
        <f>_xll.RssFOPMarket(131238018,"前日終値")</f>
        <v>166</v>
      </c>
    </row>
    <row r="37" spans="43:78">
      <c r="AQ37" s="3"/>
      <c r="BH37">
        <v>181118518</v>
      </c>
      <c r="BI37" t="str">
        <f>_xll.RssFOPMarket(181118518,"銘柄名称")</f>
        <v>日経225オプション 26-11 P 58500</v>
      </c>
      <c r="BJ37">
        <v>1</v>
      </c>
      <c r="BK37" s="3" t="s">
        <v>13</v>
      </c>
      <c r="BL37" t="s">
        <v>16</v>
      </c>
      <c r="BM37">
        <v>58500</v>
      </c>
      <c r="BO37" t="str">
        <f>$AU$10</f>
        <v>2026/11/12</v>
      </c>
      <c r="BP37">
        <f>_xll.RssFOPMarket(181118518,"最良売気配値1")</f>
        <v>185</v>
      </c>
      <c r="BQ37">
        <f>_xll.RssFOPMarket(181118518,"最良売気配数量1")</f>
        <v>8</v>
      </c>
      <c r="BR37">
        <f>_xll.RssFOPMarket(181118518,"最良買気配値1")</f>
        <v>177</v>
      </c>
      <c r="BS37">
        <f>_xll.RssFOPMarket(181118518,"最良買気配数量1")</f>
        <v>1</v>
      </c>
      <c r="BT37">
        <f>_xll.RssFOPMarket(181118518,"現在値")</f>
        <v>180</v>
      </c>
      <c r="BU37">
        <f>_xll.RssFOPMarket(181118518,"出来高")</f>
        <v>2</v>
      </c>
      <c r="BV37">
        <f>_xll.RssFOPMarket(181118518,"売買代金")</f>
        <v>353</v>
      </c>
      <c r="BW37">
        <f>_xll.RssFOPMarket(181118518,"始値")</f>
        <v>173</v>
      </c>
      <c r="BX37">
        <f>_xll.RssFOPMarket(181118518,"高値")</f>
        <v>180</v>
      </c>
      <c r="BY37">
        <f>_xll.RssFOPMarket(181118518,"安値")</f>
        <v>173</v>
      </c>
      <c r="BZ37">
        <f>_xll.RssFOPMarket(181118518,"前日終値")</f>
        <v>155</v>
      </c>
    </row>
    <row r="38" spans="43:78">
      <c r="AQ38" s="3"/>
      <c r="BH38">
        <v>131239018</v>
      </c>
      <c r="BI38" t="str">
        <f>_xll.RssFOPMarket(131239018,"銘柄名称")</f>
        <v>日経225オプション 26-11 P 59000</v>
      </c>
      <c r="BJ38">
        <v>1</v>
      </c>
      <c r="BK38" s="3" t="s">
        <v>13</v>
      </c>
      <c r="BL38" t="s">
        <v>16</v>
      </c>
      <c r="BM38">
        <v>59000</v>
      </c>
      <c r="BO38" t="str">
        <f>$AU$10</f>
        <v>2026/11/12</v>
      </c>
      <c r="BP38">
        <f>_xll.RssFOPMarket(131239018,"最良売気配値1")</f>
        <v>200</v>
      </c>
      <c r="BQ38">
        <f>_xll.RssFOPMarket(131239018,"最良売気配数量1")</f>
        <v>1</v>
      </c>
      <c r="BR38">
        <f>_xll.RssFOPMarket(131239018,"最良買気配値1")</f>
        <v>196</v>
      </c>
      <c r="BS38">
        <f>_xll.RssFOPMarket(131239018,"最良買気配数量1")</f>
        <v>17</v>
      </c>
      <c r="BT38">
        <f>_xll.RssFOPMarket(131239018,"現在値")</f>
        <v>190</v>
      </c>
      <c r="BU38">
        <f>_xll.RssFOPMarket(131239018,"出来高")</f>
        <v>12</v>
      </c>
      <c r="BV38">
        <f>_xll.RssFOPMarket(131239018,"売買代金")</f>
        <v>2197</v>
      </c>
      <c r="BW38">
        <f>_xll.RssFOPMarket(131239018,"始値")</f>
        <v>182</v>
      </c>
      <c r="BX38">
        <f>_xll.RssFOPMarket(131239018,"高値")</f>
        <v>190</v>
      </c>
      <c r="BY38">
        <f>_xll.RssFOPMarket(131239018,"安値")</f>
        <v>182</v>
      </c>
      <c r="BZ38">
        <f>_xll.RssFOPMarket(131239018,"前日終値")</f>
        <v>203</v>
      </c>
    </row>
    <row r="39" spans="43:78">
      <c r="AQ39" s="3"/>
      <c r="BH39">
        <v>181119518</v>
      </c>
      <c r="BI39" t="str">
        <f>_xll.RssFOPMarket(181119518,"銘柄名称")</f>
        <v>日経225オプション 26-11 P 59500</v>
      </c>
      <c r="BJ39">
        <v>1</v>
      </c>
      <c r="BK39" s="3" t="s">
        <v>13</v>
      </c>
      <c r="BL39" t="s">
        <v>16</v>
      </c>
      <c r="BM39">
        <v>59500</v>
      </c>
      <c r="BO39" t="str">
        <f>$AU$10</f>
        <v>2026/11/12</v>
      </c>
      <c r="BP39">
        <f>_xll.RssFOPMarket(181119518,"最良売気配値1")</f>
        <v>228</v>
      </c>
      <c r="BQ39">
        <f>_xll.RssFOPMarket(181119518,"最良売気配数量1")</f>
        <v>25</v>
      </c>
      <c r="BR39">
        <f>_xll.RssFOPMarket(181119518,"最良買気配値1")</f>
        <v>218</v>
      </c>
      <c r="BS39">
        <f>_xll.RssFOPMarket(181119518,"最良買気配数量1")</f>
        <v>1</v>
      </c>
      <c r="BT39">
        <f>_xll.RssFOPMarket(181119518,"現在値")</f>
        <v>0</v>
      </c>
      <c r="BU39">
        <f>_xll.RssFOPMarket(181119518,"出来高")</f>
        <v>0</v>
      </c>
      <c r="BV39">
        <f>_xll.RssFOPMarket(181119518,"売買代金")</f>
        <v>0</v>
      </c>
      <c r="BW39">
        <f>_xll.RssFOPMarket(181119518,"始値")</f>
        <v>0</v>
      </c>
      <c r="BX39">
        <f>_xll.RssFOPMarket(181119518,"高値")</f>
        <v>0</v>
      </c>
      <c r="BY39">
        <f>_xll.RssFOPMarket(181119518,"安値")</f>
        <v>0</v>
      </c>
      <c r="BZ39">
        <f>_xll.RssFOPMarket(181119518,"前日終値")</f>
        <v>185</v>
      </c>
    </row>
    <row r="40" spans="43:78">
      <c r="AQ40" s="3"/>
      <c r="BH40">
        <v>131230018</v>
      </c>
      <c r="BI40" t="str">
        <f>_xll.RssFOPMarket(131230018,"銘柄名称")</f>
        <v>日経225オプション 26-11 P 60000</v>
      </c>
      <c r="BJ40">
        <v>1</v>
      </c>
      <c r="BK40" s="3" t="s">
        <v>13</v>
      </c>
      <c r="BL40" t="s">
        <v>16</v>
      </c>
      <c r="BM40">
        <v>60000</v>
      </c>
      <c r="BO40" t="str">
        <f>$AU$10</f>
        <v>2026/11/12</v>
      </c>
      <c r="BP40">
        <f>_xll.RssFOPMarket(131230018,"最良売気配値1")</f>
        <v>253</v>
      </c>
      <c r="BQ40">
        <f>_xll.RssFOPMarket(131230018,"最良売気配数量1")</f>
        <v>11</v>
      </c>
      <c r="BR40">
        <f>_xll.RssFOPMarket(131230018,"最良買気配値1")</f>
        <v>243</v>
      </c>
      <c r="BS40">
        <f>_xll.RssFOPMarket(131230018,"最良買気配数量1")</f>
        <v>14</v>
      </c>
      <c r="BT40">
        <f>_xll.RssFOPMarket(131230018,"現在値")</f>
        <v>250</v>
      </c>
      <c r="BU40">
        <f>_xll.RssFOPMarket(131230018,"出来高")</f>
        <v>8</v>
      </c>
      <c r="BV40">
        <f>_xll.RssFOPMarket(131230018,"売買代金")</f>
        <v>1878</v>
      </c>
      <c r="BW40">
        <f>_xll.RssFOPMarket(131230018,"始値")</f>
        <v>240</v>
      </c>
      <c r="BX40">
        <f>_xll.RssFOPMarket(131230018,"高値")</f>
        <v>250</v>
      </c>
      <c r="BY40">
        <f>_xll.RssFOPMarket(131230018,"安値")</f>
        <v>227</v>
      </c>
      <c r="BZ40">
        <f>_xll.RssFOPMarket(131230018,"前日終値")</f>
        <v>251</v>
      </c>
    </row>
    <row r="41" spans="43:78">
      <c r="AQ41" s="3"/>
      <c r="BH41">
        <v>181110518</v>
      </c>
      <c r="BI41" t="str">
        <f>_xll.RssFOPMarket(181110518,"銘柄名称")</f>
        <v>日経225オプション 26-11 P 60500</v>
      </c>
      <c r="BJ41">
        <v>1</v>
      </c>
      <c r="BK41" s="3" t="s">
        <v>13</v>
      </c>
      <c r="BL41" t="s">
        <v>16</v>
      </c>
      <c r="BM41">
        <v>60500</v>
      </c>
      <c r="BO41" t="str">
        <f>$AU$10</f>
        <v>2026/11/12</v>
      </c>
      <c r="BP41">
        <f>_xll.RssFOPMarket(181110518,"最良売気配値1")</f>
        <v>282</v>
      </c>
      <c r="BQ41">
        <f>_xll.RssFOPMarket(181110518,"最良売気配数量1")</f>
        <v>6</v>
      </c>
      <c r="BR41">
        <f>_xll.RssFOPMarket(181110518,"最良買気配値1")</f>
        <v>272</v>
      </c>
      <c r="BS41">
        <f>_xll.RssFOPMarket(181110518,"最良買気配数量1")</f>
        <v>1</v>
      </c>
      <c r="BT41">
        <f>_xll.RssFOPMarket(181110518,"現在値")</f>
        <v>0</v>
      </c>
      <c r="BU41">
        <f>_xll.RssFOPMarket(181110518,"出来高")</f>
        <v>0</v>
      </c>
      <c r="BV41">
        <f>_xll.RssFOPMarket(181110518,"売買代金")</f>
        <v>0</v>
      </c>
      <c r="BW41">
        <f>_xll.RssFOPMarket(181110518,"始値")</f>
        <v>0</v>
      </c>
      <c r="BX41">
        <f>_xll.RssFOPMarket(181110518,"高値")</f>
        <v>0</v>
      </c>
      <c r="BY41">
        <f>_xll.RssFOPMarket(181110518,"安値")</f>
        <v>0</v>
      </c>
      <c r="BZ41">
        <f>_xll.RssFOPMarket(181110518,"前日終値")</f>
        <v>280</v>
      </c>
    </row>
    <row r="42" spans="43:78">
      <c r="AQ42" s="3"/>
      <c r="BH42">
        <v>131231018</v>
      </c>
      <c r="BI42" t="str">
        <f>_xll.RssFOPMarket(131231018,"銘柄名称")</f>
        <v>日経225オプション 26-11 P 61000</v>
      </c>
      <c r="BJ42">
        <v>1</v>
      </c>
      <c r="BK42" s="3" t="s">
        <v>13</v>
      </c>
      <c r="BL42" t="s">
        <v>16</v>
      </c>
      <c r="BM42">
        <v>61000</v>
      </c>
      <c r="BO42" t="str">
        <f>$AU$10</f>
        <v>2026/11/12</v>
      </c>
      <c r="BP42">
        <f>_xll.RssFOPMarket(131231018,"最良売気配値1")</f>
        <v>335</v>
      </c>
      <c r="BQ42">
        <f>_xll.RssFOPMarket(131231018,"最良売気配数量1")</f>
        <v>9</v>
      </c>
      <c r="BR42">
        <f>_xll.RssFOPMarket(131231018,"最良買気配値1")</f>
        <v>286</v>
      </c>
      <c r="BS42">
        <f>_xll.RssFOPMarket(131231018,"最良買気配数量1")</f>
        <v>9</v>
      </c>
      <c r="BT42">
        <f>_xll.RssFOPMarket(131231018,"現在値")</f>
        <v>305</v>
      </c>
      <c r="BU42">
        <f>_xll.RssFOPMarket(131231018,"出来高")</f>
        <v>39</v>
      </c>
      <c r="BV42">
        <f>_xll.RssFOPMarket(131231018,"売買代金")</f>
        <v>11510</v>
      </c>
      <c r="BW42">
        <f>_xll.RssFOPMarket(131231018,"始値")</f>
        <v>295</v>
      </c>
      <c r="BX42">
        <f>_xll.RssFOPMarket(131231018,"高値")</f>
        <v>310</v>
      </c>
      <c r="BY42">
        <f>_xll.RssFOPMarket(131231018,"安値")</f>
        <v>288</v>
      </c>
      <c r="BZ42">
        <f>_xll.RssFOPMarket(131231018,"前日終値")</f>
        <v>315</v>
      </c>
    </row>
    <row r="43" spans="43:78">
      <c r="AQ43" s="3"/>
      <c r="BH43">
        <v>181111518</v>
      </c>
      <c r="BI43" t="str">
        <f>_xll.RssFOPMarket(181111518,"銘柄名称")</f>
        <v>日経225オプション 26-11 P 61500</v>
      </c>
      <c r="BJ43">
        <v>1</v>
      </c>
      <c r="BK43" s="3" t="s">
        <v>13</v>
      </c>
      <c r="BL43" t="s">
        <v>16</v>
      </c>
      <c r="BM43">
        <v>61500</v>
      </c>
      <c r="BO43" t="str">
        <f>$AU$10</f>
        <v>2026/11/12</v>
      </c>
      <c r="BP43">
        <f>_xll.RssFOPMarket(181111518,"最良売気配値1")</f>
        <v>400</v>
      </c>
      <c r="BQ43">
        <f>_xll.RssFOPMarket(181111518,"最良売気配数量1")</f>
        <v>14</v>
      </c>
      <c r="BR43">
        <f>_xll.RssFOPMarket(181111518,"最良買気配値1")</f>
        <v>290</v>
      </c>
      <c r="BS43">
        <f>_xll.RssFOPMarket(181111518,"最良買気配数量1")</f>
        <v>14</v>
      </c>
      <c r="BT43">
        <f>_xll.RssFOPMarket(181111518,"現在値")</f>
        <v>0</v>
      </c>
      <c r="BU43">
        <f>_xll.RssFOPMarket(181111518,"出来高")</f>
        <v>0</v>
      </c>
      <c r="BV43">
        <f>_xll.RssFOPMarket(181111518,"売買代金")</f>
        <v>0</v>
      </c>
      <c r="BW43">
        <f>_xll.RssFOPMarket(181111518,"始値")</f>
        <v>0</v>
      </c>
      <c r="BX43">
        <f>_xll.RssFOPMarket(181111518,"高値")</f>
        <v>0</v>
      </c>
      <c r="BY43">
        <f>_xll.RssFOPMarket(181111518,"安値")</f>
        <v>0</v>
      </c>
      <c r="BZ43">
        <f>_xll.RssFOPMarket(181111518,"前日終値")</f>
        <v>305</v>
      </c>
    </row>
    <row r="44" spans="43:78">
      <c r="AQ44" s="3"/>
      <c r="BH44">
        <v>131232018</v>
      </c>
      <c r="BI44" t="str">
        <f>_xll.RssFOPMarket(131232018,"銘柄名称")</f>
        <v>日経225オプション 26-11 P 62000</v>
      </c>
      <c r="BJ44">
        <v>1</v>
      </c>
      <c r="BK44" s="3" t="s">
        <v>13</v>
      </c>
      <c r="BL44" t="s">
        <v>16</v>
      </c>
      <c r="BM44">
        <v>62000</v>
      </c>
      <c r="BO44" t="str">
        <f>$AU$10</f>
        <v>2026/11/12</v>
      </c>
      <c r="BP44">
        <f>_xll.RssFOPMarket(131232018,"最良売気配値1")</f>
        <v>400</v>
      </c>
      <c r="BQ44">
        <f>_xll.RssFOPMarket(131232018,"最良売気配数量1")</f>
        <v>4</v>
      </c>
      <c r="BR44">
        <f>_xll.RssFOPMarket(131232018,"最良買気配値1")</f>
        <v>390</v>
      </c>
      <c r="BS44">
        <f>_xll.RssFOPMarket(131232018,"最良買気配数量1")</f>
        <v>4</v>
      </c>
      <c r="BT44">
        <f>_xll.RssFOPMarket(131232018,"現在値")</f>
        <v>365</v>
      </c>
      <c r="BU44">
        <f>_xll.RssFOPMarket(131232018,"出来高")</f>
        <v>3</v>
      </c>
      <c r="BV44">
        <f>_xll.RssFOPMarket(131232018,"売買代金")</f>
        <v>1085</v>
      </c>
      <c r="BW44">
        <f>_xll.RssFOPMarket(131232018,"始値")</f>
        <v>360</v>
      </c>
      <c r="BX44">
        <f>_xll.RssFOPMarket(131232018,"高値")</f>
        <v>365</v>
      </c>
      <c r="BY44">
        <f>_xll.RssFOPMarket(131232018,"安値")</f>
        <v>360</v>
      </c>
      <c r="BZ44">
        <f>_xll.RssFOPMarket(131232018,"前日終値")</f>
        <v>395</v>
      </c>
    </row>
    <row r="45" spans="43:78">
      <c r="AQ45" s="3"/>
      <c r="BH45">
        <v>131232518</v>
      </c>
      <c r="BI45" t="str">
        <f>_xll.RssFOPMarket(131232518,"銘柄名称")</f>
        <v>日経225オプション 26-11 P 62500</v>
      </c>
      <c r="BJ45">
        <v>1</v>
      </c>
      <c r="BK45" s="3" t="s">
        <v>13</v>
      </c>
      <c r="BL45" t="s">
        <v>16</v>
      </c>
      <c r="BM45">
        <v>62500</v>
      </c>
      <c r="BO45" t="str">
        <f>$AU$10</f>
        <v>2026/11/12</v>
      </c>
      <c r="BP45">
        <f>_xll.RssFOPMarket(131232518,"最良売気配値1")</f>
        <v>455</v>
      </c>
      <c r="BQ45">
        <f>_xll.RssFOPMarket(131232518,"最良売気配数量1")</f>
        <v>4</v>
      </c>
      <c r="BR45">
        <f>_xll.RssFOPMarket(131232518,"最良買気配値1")</f>
        <v>440</v>
      </c>
      <c r="BS45">
        <f>_xll.RssFOPMarket(131232518,"最良買気配数量1")</f>
        <v>4</v>
      </c>
      <c r="BT45">
        <f>_xll.RssFOPMarket(131232518,"現在値")</f>
        <v>0</v>
      </c>
      <c r="BU45">
        <f>_xll.RssFOPMarket(131232518,"出来高")</f>
        <v>0</v>
      </c>
      <c r="BV45">
        <f>_xll.RssFOPMarket(131232518,"売買代金")</f>
        <v>0</v>
      </c>
      <c r="BW45">
        <f>_xll.RssFOPMarket(131232518,"始値")</f>
        <v>0</v>
      </c>
      <c r="BX45">
        <f>_xll.RssFOPMarket(131232518,"高値")</f>
        <v>0</v>
      </c>
      <c r="BY45">
        <f>_xll.RssFOPMarket(131232518,"安値")</f>
        <v>0</v>
      </c>
      <c r="BZ45">
        <f>_xll.RssFOPMarket(131232518,"前日終値")</f>
        <v>405</v>
      </c>
    </row>
    <row r="46" spans="43:78">
      <c r="AQ46" s="3"/>
      <c r="BH46">
        <v>131233018</v>
      </c>
      <c r="BI46" t="str">
        <f>_xll.RssFOPMarket(131233018,"銘柄名称")</f>
        <v>日経225オプション 26-11 P 63000</v>
      </c>
      <c r="BJ46">
        <v>1</v>
      </c>
      <c r="BK46" s="3" t="s">
        <v>13</v>
      </c>
      <c r="BL46" t="s">
        <v>16</v>
      </c>
      <c r="BM46">
        <v>63000</v>
      </c>
      <c r="BO46" t="str">
        <f>$AU$10</f>
        <v>2026/11/12</v>
      </c>
      <c r="BP46">
        <f>_xll.RssFOPMarket(131233018,"最良売気配値1")</f>
        <v>515</v>
      </c>
      <c r="BQ46">
        <f>_xll.RssFOPMarket(131233018,"最良売気配数量1")</f>
        <v>4</v>
      </c>
      <c r="BR46">
        <f>_xll.RssFOPMarket(131233018,"最良買気配値1")</f>
        <v>505</v>
      </c>
      <c r="BS46">
        <f>_xll.RssFOPMarket(131233018,"最良買気配数量1")</f>
        <v>10</v>
      </c>
      <c r="BT46">
        <f>_xll.RssFOPMarket(131233018,"現在値")</f>
        <v>505</v>
      </c>
      <c r="BU46">
        <f>_xll.RssFOPMarket(131233018,"出来高")</f>
        <v>6</v>
      </c>
      <c r="BV46">
        <f>_xll.RssFOPMarket(131233018,"売買代金")</f>
        <v>2925</v>
      </c>
      <c r="BW46">
        <f>_xll.RssFOPMarket(131233018,"始値")</f>
        <v>480</v>
      </c>
      <c r="BX46">
        <f>_xll.RssFOPMarket(131233018,"高値")</f>
        <v>505</v>
      </c>
      <c r="BY46">
        <f>_xll.RssFOPMarket(131233018,"安値")</f>
        <v>475</v>
      </c>
      <c r="BZ46">
        <f>_xll.RssFOPMarket(131233018,"前日終値")</f>
        <v>505</v>
      </c>
    </row>
    <row r="47" spans="43:78">
      <c r="AQ47" s="3"/>
      <c r="BH47">
        <v>181113518</v>
      </c>
      <c r="BI47" t="str">
        <f>_xll.RssFOPMarket(181113518,"銘柄名称")</f>
        <v>日経225オプション 26-11 P 63500</v>
      </c>
      <c r="BJ47">
        <v>1</v>
      </c>
      <c r="BK47" s="3" t="s">
        <v>13</v>
      </c>
      <c r="BL47" t="s">
        <v>16</v>
      </c>
      <c r="BM47">
        <v>63500</v>
      </c>
      <c r="BO47" t="str">
        <f>$AU$10</f>
        <v>2026/11/12</v>
      </c>
      <c r="BP47">
        <f>_xll.RssFOPMarket(181113518,"最良売気配値1")</f>
        <v>585</v>
      </c>
      <c r="BQ47">
        <f>_xll.RssFOPMarket(181113518,"最良売気配数量1")</f>
        <v>4</v>
      </c>
      <c r="BR47">
        <f>_xll.RssFOPMarket(181113518,"最良買気配値1")</f>
        <v>575</v>
      </c>
      <c r="BS47">
        <f>_xll.RssFOPMarket(181113518,"最良買気配数量1")</f>
        <v>8</v>
      </c>
      <c r="BT47">
        <f>_xll.RssFOPMarket(181113518,"現在値")</f>
        <v>0</v>
      </c>
      <c r="BU47">
        <f>_xll.RssFOPMarket(181113518,"出来高")</f>
        <v>0</v>
      </c>
      <c r="BV47">
        <f>_xll.RssFOPMarket(181113518,"売買代金")</f>
        <v>0</v>
      </c>
      <c r="BW47">
        <f>_xll.RssFOPMarket(181113518,"始値")</f>
        <v>0</v>
      </c>
      <c r="BX47">
        <f>_xll.RssFOPMarket(181113518,"高値")</f>
        <v>0</v>
      </c>
      <c r="BY47">
        <f>_xll.RssFOPMarket(181113518,"安値")</f>
        <v>0</v>
      </c>
      <c r="BZ47">
        <f>_xll.RssFOPMarket(181113518,"前日終値")</f>
        <v>600</v>
      </c>
    </row>
    <row r="48" spans="43:78">
      <c r="AQ48" s="3"/>
      <c r="BH48">
        <v>131234018</v>
      </c>
      <c r="BI48" t="str">
        <f>_xll.RssFOPMarket(131234018,"銘柄名称")</f>
        <v>日経225オプション 26-11 P 64000</v>
      </c>
      <c r="BJ48">
        <v>1</v>
      </c>
      <c r="BK48" s="3" t="s">
        <v>13</v>
      </c>
      <c r="BL48" t="s">
        <v>16</v>
      </c>
      <c r="BM48">
        <v>64000</v>
      </c>
      <c r="BO48" t="str">
        <f>$AU$10</f>
        <v>2026/11/12</v>
      </c>
      <c r="BP48">
        <f>_xll.RssFOPMarket(131234018,"最良売気配値1")</f>
        <v>670</v>
      </c>
      <c r="BQ48">
        <f>_xll.RssFOPMarket(131234018,"最良売気配数量1")</f>
        <v>4</v>
      </c>
      <c r="BR48">
        <f>_xll.RssFOPMarket(131234018,"最良買気配値1")</f>
        <v>660</v>
      </c>
      <c r="BS48">
        <f>_xll.RssFOPMarket(131234018,"最良買気配数量1")</f>
        <v>4</v>
      </c>
      <c r="BT48">
        <f>_xll.RssFOPMarket(131234018,"現在値")</f>
        <v>640</v>
      </c>
      <c r="BU48">
        <f>_xll.RssFOPMarket(131234018,"出来高")</f>
        <v>6</v>
      </c>
      <c r="BV48">
        <f>_xll.RssFOPMarket(131234018,"売買代金")</f>
        <v>3780</v>
      </c>
      <c r="BW48">
        <f>_xll.RssFOPMarket(131234018,"始値")</f>
        <v>610</v>
      </c>
      <c r="BX48">
        <f>_xll.RssFOPMarket(131234018,"高値")</f>
        <v>640</v>
      </c>
      <c r="BY48">
        <f>_xll.RssFOPMarket(131234018,"安値")</f>
        <v>610</v>
      </c>
      <c r="BZ48">
        <f>_xll.RssFOPMarket(131234018,"前日終値")</f>
        <v>675</v>
      </c>
    </row>
    <row r="49" spans="40:78">
      <c r="AQ49" s="3"/>
      <c r="BH49">
        <v>131234518</v>
      </c>
      <c r="BI49" t="str">
        <f>_xll.RssFOPMarket(131234518,"銘柄名称")</f>
        <v>日経225オプション 26-11 P 64500</v>
      </c>
      <c r="BJ49">
        <v>1</v>
      </c>
      <c r="BK49" s="3" t="s">
        <v>13</v>
      </c>
      <c r="BL49" t="s">
        <v>16</v>
      </c>
      <c r="BM49">
        <v>64500</v>
      </c>
      <c r="BO49" t="str">
        <f>$AU$10</f>
        <v>2026/11/12</v>
      </c>
      <c r="BP49">
        <f>_xll.RssFOPMarket(131234518,"最良売気配値1")</f>
        <v>770</v>
      </c>
      <c r="BQ49">
        <f>_xll.RssFOPMarket(131234518,"最良売気配数量1")</f>
        <v>6</v>
      </c>
      <c r="BR49">
        <f>_xll.RssFOPMarket(131234518,"最良買気配値1")</f>
        <v>750</v>
      </c>
      <c r="BS49">
        <f>_xll.RssFOPMarket(131234518,"最良買気配数量1")</f>
        <v>4</v>
      </c>
      <c r="BT49">
        <f>_xll.RssFOPMarket(131234518,"現在値")</f>
        <v>760</v>
      </c>
      <c r="BU49">
        <f>_xll.RssFOPMarket(131234518,"出来高")</f>
        <v>2</v>
      </c>
      <c r="BV49">
        <f>_xll.RssFOPMarket(131234518,"売買代金")</f>
        <v>1490</v>
      </c>
      <c r="BW49">
        <f>_xll.RssFOPMarket(131234518,"始値")</f>
        <v>730</v>
      </c>
      <c r="BX49">
        <f>_xll.RssFOPMarket(131234518,"高値")</f>
        <v>760</v>
      </c>
      <c r="BY49">
        <f>_xll.RssFOPMarket(131234518,"安値")</f>
        <v>730</v>
      </c>
      <c r="BZ49">
        <f>_xll.RssFOPMarket(131234518,"前日終値")</f>
        <v>840</v>
      </c>
    </row>
    <row r="50" spans="40:78">
      <c r="AN50">
        <v>141235018</v>
      </c>
      <c r="AO50" t="str">
        <f>_xll.RssFOPMarket(141235018,"銘柄名称")</f>
        <v>日経225オプション 26-11 C 65000</v>
      </c>
      <c r="AP50">
        <v>1</v>
      </c>
      <c r="AQ50" s="3" t="s">
        <v>13</v>
      </c>
      <c r="AR50" t="s">
        <v>17</v>
      </c>
      <c r="AS50">
        <v>65000</v>
      </c>
      <c r="AU50" t="str">
        <f>$AU$10</f>
        <v>2026/11/12</v>
      </c>
      <c r="AV50">
        <f>_xll.RssFOPMarket(141235018,"最良売気配値1")</f>
        <v>4095</v>
      </c>
      <c r="AW50">
        <f>_xll.RssFOPMarket(141235018,"最良売気配数量1")</f>
        <v>20</v>
      </c>
      <c r="AX50">
        <f>_xll.RssFOPMarket(141235018,"最良買気配値1")</f>
        <v>3730</v>
      </c>
      <c r="AY50">
        <f>_xll.RssFOPMarket(141235018,"最良買気配数量1")</f>
        <v>20</v>
      </c>
      <c r="AZ50">
        <f>_xll.RssFOPMarket(141235018,"現在値")</f>
        <v>0</v>
      </c>
      <c r="BA50">
        <f>_xll.RssFOPMarket(141235018,"出来高")</f>
        <v>0</v>
      </c>
      <c r="BB50">
        <f>_xll.RssFOPMarket(141235018,"売買代金")</f>
        <v>0</v>
      </c>
      <c r="BC50">
        <f>_xll.RssFOPMarket(141235018,"始値")</f>
        <v>0</v>
      </c>
      <c r="BD50">
        <f>_xll.RssFOPMarket(141235018,"高値")</f>
        <v>0</v>
      </c>
      <c r="BE50">
        <f>_xll.RssFOPMarket(141235018,"安値")</f>
        <v>0</v>
      </c>
      <c r="BF50">
        <f>_xll.RssFOPMarket(141235018,"前日終値")</f>
        <v>4425</v>
      </c>
      <c r="BH50">
        <v>131235018</v>
      </c>
      <c r="BI50" t="str">
        <f>_xll.RssFOPMarket(131235018,"銘柄名称")</f>
        <v>日経225オプション 26-11 P 65000</v>
      </c>
      <c r="BJ50">
        <v>1</v>
      </c>
      <c r="BK50" s="3" t="s">
        <v>13</v>
      </c>
      <c r="BL50" t="s">
        <v>16</v>
      </c>
      <c r="BM50">
        <v>65000</v>
      </c>
      <c r="BO50" t="str">
        <f>$AU$10</f>
        <v>2026/11/12</v>
      </c>
      <c r="BP50">
        <f>_xll.RssFOPMarket(131235018,"最良売気配値1")</f>
        <v>880</v>
      </c>
      <c r="BQ50">
        <f>_xll.RssFOPMarket(131235018,"最良売気配数量1")</f>
        <v>35</v>
      </c>
      <c r="BR50">
        <f>_xll.RssFOPMarket(131235018,"最良買気配値1")</f>
        <v>855</v>
      </c>
      <c r="BS50">
        <f>_xll.RssFOPMarket(131235018,"最良買気配数量1")</f>
        <v>35</v>
      </c>
      <c r="BT50">
        <f>_xll.RssFOPMarket(131235018,"現在値")</f>
        <v>865</v>
      </c>
      <c r="BU50">
        <f>_xll.RssFOPMarket(131235018,"出来高")</f>
        <v>12</v>
      </c>
      <c r="BV50">
        <f>_xll.RssFOPMarket(131235018,"売買代金")</f>
        <v>9760</v>
      </c>
      <c r="BW50">
        <f>_xll.RssFOPMarket(131235018,"始値")</f>
        <v>815</v>
      </c>
      <c r="BX50">
        <f>_xll.RssFOPMarket(131235018,"高値")</f>
        <v>865</v>
      </c>
      <c r="BY50">
        <f>_xll.RssFOPMarket(131235018,"安値")</f>
        <v>790</v>
      </c>
      <c r="BZ50">
        <f>_xll.RssFOPMarket(131235018,"前日終値")</f>
        <v>900</v>
      </c>
    </row>
    <row r="51" spans="40:78">
      <c r="AN51">
        <v>141235518</v>
      </c>
      <c r="AO51" t="str">
        <f>_xll.RssFOPMarket(141235518,"銘柄名称")</f>
        <v>日経225オプション 26-11 C 65500</v>
      </c>
      <c r="AP51">
        <v>1</v>
      </c>
      <c r="AQ51" s="3" t="s">
        <v>13</v>
      </c>
      <c r="AR51" t="s">
        <v>17</v>
      </c>
      <c r="AS51">
        <v>65500</v>
      </c>
      <c r="AU51" t="str">
        <f>$AU$10</f>
        <v>2026/11/12</v>
      </c>
      <c r="AV51">
        <f>_xll.RssFOPMarket(141235518,"最良売気配値1")</f>
        <v>3705</v>
      </c>
      <c r="AW51">
        <f>_xll.RssFOPMarket(141235518,"最良売気配数量1")</f>
        <v>12</v>
      </c>
      <c r="AX51">
        <f>_xll.RssFOPMarket(141235518,"最良買気配値1")</f>
        <v>3380</v>
      </c>
      <c r="AY51">
        <f>_xll.RssFOPMarket(141235518,"最良買気配数量1")</f>
        <v>12</v>
      </c>
      <c r="AZ51">
        <f>_xll.RssFOPMarket(141235518,"現在値")</f>
        <v>0</v>
      </c>
      <c r="BA51">
        <f>_xll.RssFOPMarket(141235518,"出来高")</f>
        <v>0</v>
      </c>
      <c r="BB51">
        <f>_xll.RssFOPMarket(141235518,"売買代金")</f>
        <v>0</v>
      </c>
      <c r="BC51">
        <f>_xll.RssFOPMarket(141235518,"始値")</f>
        <v>0</v>
      </c>
      <c r="BD51">
        <f>_xll.RssFOPMarket(141235518,"高値")</f>
        <v>0</v>
      </c>
      <c r="BE51">
        <f>_xll.RssFOPMarket(141235518,"安値")</f>
        <v>0</v>
      </c>
      <c r="BF51">
        <f>_xll.RssFOPMarket(141235518,"前日終値")</f>
        <v>2345</v>
      </c>
      <c r="BH51">
        <v>131235518</v>
      </c>
      <c r="BI51" t="str">
        <f>_xll.RssFOPMarket(131235518,"銘柄名称")</f>
        <v>日経225オプション 26-11 P 65500</v>
      </c>
      <c r="BJ51">
        <v>1</v>
      </c>
      <c r="BK51" s="3" t="s">
        <v>13</v>
      </c>
      <c r="BL51" t="s">
        <v>16</v>
      </c>
      <c r="BM51">
        <v>65500</v>
      </c>
      <c r="BO51" t="str">
        <f>$AU$10</f>
        <v>2026/11/12</v>
      </c>
      <c r="BP51">
        <f>_xll.RssFOPMarket(131235518,"最良売気配値1")</f>
        <v>1005</v>
      </c>
      <c r="BQ51">
        <f>_xll.RssFOPMarket(131235518,"最良売気配数量1")</f>
        <v>18</v>
      </c>
      <c r="BR51">
        <f>_xll.RssFOPMarket(131235518,"最良買気配値1")</f>
        <v>980</v>
      </c>
      <c r="BS51">
        <f>_xll.RssFOPMarket(131235518,"最良買気配数量1")</f>
        <v>28</v>
      </c>
      <c r="BT51">
        <f>_xll.RssFOPMarket(131235518,"現在値")</f>
        <v>0</v>
      </c>
      <c r="BU51">
        <f>_xll.RssFOPMarket(131235518,"出来高")</f>
        <v>0</v>
      </c>
      <c r="BV51">
        <f>_xll.RssFOPMarket(131235518,"売買代金")</f>
        <v>0</v>
      </c>
      <c r="BW51">
        <f>_xll.RssFOPMarket(131235518,"始値")</f>
        <v>0</v>
      </c>
      <c r="BX51">
        <f>_xll.RssFOPMarket(131235518,"高値")</f>
        <v>0</v>
      </c>
      <c r="BY51">
        <f>_xll.RssFOPMarket(131235518,"安値")</f>
        <v>0</v>
      </c>
      <c r="BZ51">
        <f>_xll.RssFOPMarket(131235518,"前日終値")</f>
        <v>965</v>
      </c>
    </row>
    <row r="52" spans="40:78">
      <c r="AN52">
        <v>191236018</v>
      </c>
      <c r="AO52" t="str">
        <f>_xll.RssFOPMarket(191236018,"銘柄名称")</f>
        <v>日経225オプション 26-11 C 66000</v>
      </c>
      <c r="AP52">
        <v>1</v>
      </c>
      <c r="AQ52" s="3" t="s">
        <v>13</v>
      </c>
      <c r="AR52" t="s">
        <v>17</v>
      </c>
      <c r="AS52">
        <v>66000</v>
      </c>
      <c r="AU52" t="str">
        <f>$AU$10</f>
        <v>2026/11/12</v>
      </c>
      <c r="AV52">
        <f>_xll.RssFOPMarket(191236018,"最良売気配値1")</f>
        <v>3300</v>
      </c>
      <c r="AW52">
        <f>_xll.RssFOPMarket(191236018,"最良売気配数量1")</f>
        <v>27</v>
      </c>
      <c r="AX52">
        <f>_xll.RssFOPMarket(191236018,"最良買気配値1")</f>
        <v>2985</v>
      </c>
      <c r="AY52">
        <f>_xll.RssFOPMarket(191236018,"最良買気配数量1")</f>
        <v>27</v>
      </c>
      <c r="AZ52">
        <f>_xll.RssFOPMarket(191236018,"現在値")</f>
        <v>0</v>
      </c>
      <c r="BA52">
        <f>_xll.RssFOPMarket(191236018,"出来高")</f>
        <v>0</v>
      </c>
      <c r="BB52">
        <f>_xll.RssFOPMarket(191236018,"売買代金")</f>
        <v>0</v>
      </c>
      <c r="BC52">
        <f>_xll.RssFOPMarket(191236018,"始値")</f>
        <v>0</v>
      </c>
      <c r="BD52">
        <f>_xll.RssFOPMarket(191236018,"高値")</f>
        <v>0</v>
      </c>
      <c r="BE52">
        <f>_xll.RssFOPMarket(191236018,"安値")</f>
        <v>0</v>
      </c>
      <c r="BF52">
        <f>_xll.RssFOPMarket(191236018,"前日終値")</f>
        <v>3100</v>
      </c>
      <c r="BH52">
        <v>181236018</v>
      </c>
      <c r="BI52" t="str">
        <f>_xll.RssFOPMarket(181236018,"銘柄名称")</f>
        <v>日経225オプション 26-11 P 66000</v>
      </c>
      <c r="BJ52">
        <v>1</v>
      </c>
      <c r="BK52" s="3" t="s">
        <v>13</v>
      </c>
      <c r="BL52" t="s">
        <v>16</v>
      </c>
      <c r="BM52">
        <v>66000</v>
      </c>
      <c r="BO52" t="str">
        <f>$AU$10</f>
        <v>2026/11/12</v>
      </c>
      <c r="BP52">
        <f>_xll.RssFOPMarket(181236018,"最良売気配値1")</f>
        <v>1145</v>
      </c>
      <c r="BQ52">
        <f>_xll.RssFOPMarket(181236018,"最良売気配数量1")</f>
        <v>4</v>
      </c>
      <c r="BR52">
        <f>_xll.RssFOPMarket(181236018,"最良買気配値1")</f>
        <v>1120</v>
      </c>
      <c r="BS52">
        <f>_xll.RssFOPMarket(181236018,"最良買気配数量1")</f>
        <v>32</v>
      </c>
      <c r="BT52">
        <f>_xll.RssFOPMarket(181236018,"現在値")</f>
        <v>1100</v>
      </c>
      <c r="BU52">
        <f>_xll.RssFOPMarket(181236018,"出来高")</f>
        <v>4</v>
      </c>
      <c r="BV52">
        <f>_xll.RssFOPMarket(181236018,"売買代金")</f>
        <v>4375</v>
      </c>
      <c r="BW52">
        <f>_xll.RssFOPMarket(181236018,"始値")</f>
        <v>1090</v>
      </c>
      <c r="BX52">
        <f>_xll.RssFOPMarket(181236018,"高値")</f>
        <v>1100</v>
      </c>
      <c r="BY52">
        <f>_xll.RssFOPMarket(181236018,"安値")</f>
        <v>1090</v>
      </c>
      <c r="BZ52">
        <f>_xll.RssFOPMarket(181236018,"前日終値")</f>
        <v>1170</v>
      </c>
    </row>
    <row r="53" spans="40:78">
      <c r="AN53">
        <v>141236518</v>
      </c>
      <c r="AO53" t="str">
        <f>_xll.RssFOPMarket(141236518,"銘柄名称")</f>
        <v>日経225オプション 26-11 C 66500</v>
      </c>
      <c r="AP53">
        <v>1</v>
      </c>
      <c r="AQ53" s="3" t="s">
        <v>13</v>
      </c>
      <c r="AR53" t="s">
        <v>17</v>
      </c>
      <c r="AS53">
        <v>66500</v>
      </c>
      <c r="AU53" t="str">
        <f>$AU$10</f>
        <v>2026/11/12</v>
      </c>
      <c r="AV53">
        <f>_xll.RssFOPMarket(141236518,"最良売気配値1")</f>
        <v>2870</v>
      </c>
      <c r="AW53">
        <f>_xll.RssFOPMarket(141236518,"最良売気配数量1")</f>
        <v>12</v>
      </c>
      <c r="AX53">
        <f>_xll.RssFOPMarket(141236518,"最良買気配値1")</f>
        <v>2740</v>
      </c>
      <c r="AY53">
        <f>_xll.RssFOPMarket(141236518,"最良買気配数量1")</f>
        <v>12</v>
      </c>
      <c r="AZ53">
        <f>_xll.RssFOPMarket(141236518,"現在値")</f>
        <v>0</v>
      </c>
      <c r="BA53">
        <f>_xll.RssFOPMarket(141236518,"出来高")</f>
        <v>0</v>
      </c>
      <c r="BB53">
        <f>_xll.RssFOPMarket(141236518,"売買代金")</f>
        <v>0</v>
      </c>
      <c r="BC53">
        <f>_xll.RssFOPMarket(141236518,"始値")</f>
        <v>0</v>
      </c>
      <c r="BD53">
        <f>_xll.RssFOPMarket(141236518,"高値")</f>
        <v>0</v>
      </c>
      <c r="BE53">
        <f>_xll.RssFOPMarket(141236518,"安値")</f>
        <v>0</v>
      </c>
      <c r="BF53">
        <f>_xll.RssFOPMarket(141236518,"前日終値")</f>
        <v>1850</v>
      </c>
      <c r="BH53">
        <v>131236518</v>
      </c>
      <c r="BI53" t="str">
        <f>_xll.RssFOPMarket(131236518,"銘柄名称")</f>
        <v>日経225オプション 26-11 P 66500</v>
      </c>
      <c r="BJ53">
        <v>1</v>
      </c>
      <c r="BK53" s="3" t="s">
        <v>13</v>
      </c>
      <c r="BL53" t="s">
        <v>16</v>
      </c>
      <c r="BM53">
        <v>66500</v>
      </c>
      <c r="BO53" t="str">
        <f>$AU$10</f>
        <v>2026/11/12</v>
      </c>
      <c r="BP53">
        <f>_xll.RssFOPMarket(131236518,"最良売気配値1")</f>
        <v>1310</v>
      </c>
      <c r="BQ53">
        <f>_xll.RssFOPMarket(131236518,"最良売気配数量1")</f>
        <v>14</v>
      </c>
      <c r="BR53">
        <f>_xll.RssFOPMarket(131236518,"最良買気配値1")</f>
        <v>1280</v>
      </c>
      <c r="BS53">
        <f>_xll.RssFOPMarket(131236518,"最良買気配数量1")</f>
        <v>26</v>
      </c>
      <c r="BT53">
        <f>_xll.RssFOPMarket(131236518,"現在値")</f>
        <v>1245</v>
      </c>
      <c r="BU53">
        <f>_xll.RssFOPMarket(131236518,"出来高")</f>
        <v>1</v>
      </c>
      <c r="BV53">
        <f>_xll.RssFOPMarket(131236518,"売買代金")</f>
        <v>1245</v>
      </c>
      <c r="BW53">
        <f>_xll.RssFOPMarket(131236518,"始値")</f>
        <v>1245</v>
      </c>
      <c r="BX53">
        <f>_xll.RssFOPMarket(131236518,"高値")</f>
        <v>1245</v>
      </c>
      <c r="BY53">
        <f>_xll.RssFOPMarket(131236518,"安値")</f>
        <v>1245</v>
      </c>
      <c r="BZ53">
        <f>_xll.RssFOPMarket(131236518,"前日終値")</f>
        <v>1330</v>
      </c>
    </row>
    <row r="54" spans="40:78">
      <c r="AN54">
        <v>141357018</v>
      </c>
      <c r="AO54" t="str">
        <f>_xll.RssFOPMarket(141357018,"銘柄名称")</f>
        <v>日経225オプション 26-11 C 67000</v>
      </c>
      <c r="AP54">
        <v>1</v>
      </c>
      <c r="AQ54" s="3" t="s">
        <v>13</v>
      </c>
      <c r="AR54" t="s">
        <v>17</v>
      </c>
      <c r="AS54">
        <v>67000</v>
      </c>
      <c r="AU54" t="str">
        <f>$AU$10</f>
        <v>2026/11/12</v>
      </c>
      <c r="AV54">
        <f>_xll.RssFOPMarket(141357018,"最良売気配値1")</f>
        <v>2535</v>
      </c>
      <c r="AW54">
        <f>_xll.RssFOPMarket(141357018,"最良売気配数量1")</f>
        <v>20</v>
      </c>
      <c r="AX54">
        <f>_xll.RssFOPMarket(141357018,"最良買気配値1")</f>
        <v>2435</v>
      </c>
      <c r="AY54">
        <f>_xll.RssFOPMarket(141357018,"最良買気配数量1")</f>
        <v>27</v>
      </c>
      <c r="AZ54">
        <f>_xll.RssFOPMarket(141357018,"現在値")</f>
        <v>0</v>
      </c>
      <c r="BA54">
        <f>_xll.RssFOPMarket(141357018,"出来高")</f>
        <v>0</v>
      </c>
      <c r="BB54">
        <f>_xll.RssFOPMarket(141357018,"売買代金")</f>
        <v>0</v>
      </c>
      <c r="BC54">
        <f>_xll.RssFOPMarket(141357018,"始値")</f>
        <v>0</v>
      </c>
      <c r="BD54">
        <f>_xll.RssFOPMarket(141357018,"高値")</f>
        <v>0</v>
      </c>
      <c r="BE54">
        <f>_xll.RssFOPMarket(141357018,"安値")</f>
        <v>0</v>
      </c>
      <c r="BF54">
        <f>_xll.RssFOPMarket(141357018,"前日終値")</f>
        <v>3330</v>
      </c>
      <c r="BH54">
        <v>131357018</v>
      </c>
      <c r="BI54" t="str">
        <f>_xll.RssFOPMarket(131357018,"銘柄名称")</f>
        <v>日経225オプション 26-11 P 67000</v>
      </c>
      <c r="BJ54">
        <v>1</v>
      </c>
      <c r="BK54" s="3" t="s">
        <v>13</v>
      </c>
      <c r="BL54" t="s">
        <v>16</v>
      </c>
      <c r="BM54">
        <v>67000</v>
      </c>
      <c r="BO54" t="str">
        <f>$AU$10</f>
        <v>2026/11/12</v>
      </c>
      <c r="BP54">
        <f>_xll.RssFOPMarket(131357018,"最良売気配値1")</f>
        <v>1490</v>
      </c>
      <c r="BQ54">
        <f>_xll.RssFOPMarket(131357018,"最良売気配数量1")</f>
        <v>5</v>
      </c>
      <c r="BR54">
        <f>_xll.RssFOPMarket(131357018,"最良買気配値1")</f>
        <v>1465</v>
      </c>
      <c r="BS54">
        <f>_xll.RssFOPMarket(131357018,"最良買気配数量1")</f>
        <v>5</v>
      </c>
      <c r="BT54">
        <f>_xll.RssFOPMarket(131357018,"現在値")</f>
        <v>1455</v>
      </c>
      <c r="BU54">
        <f>_xll.RssFOPMarket(131357018,"出来高")</f>
        <v>32</v>
      </c>
      <c r="BV54">
        <f>_xll.RssFOPMarket(131357018,"売買代金")</f>
        <v>44840</v>
      </c>
      <c r="BW54">
        <f>_xll.RssFOPMarket(131357018,"始値")</f>
        <v>1420</v>
      </c>
      <c r="BX54">
        <f>_xll.RssFOPMarket(131357018,"高値")</f>
        <v>1455</v>
      </c>
      <c r="BY54">
        <f>_xll.RssFOPMarket(131357018,"安値")</f>
        <v>1360</v>
      </c>
      <c r="BZ54">
        <f>_xll.RssFOPMarket(131357018,"前日終値")</f>
        <v>1500</v>
      </c>
    </row>
    <row r="55" spans="40:78">
      <c r="AN55">
        <v>191237518</v>
      </c>
      <c r="AO55" t="str">
        <f>_xll.RssFOPMarket(191237518,"銘柄名称")</f>
        <v>日経225オプション 26-11 C 67500</v>
      </c>
      <c r="AP55">
        <v>1</v>
      </c>
      <c r="AQ55" s="3" t="s">
        <v>13</v>
      </c>
      <c r="AR55" t="s">
        <v>17</v>
      </c>
      <c r="AS55">
        <v>67500</v>
      </c>
      <c r="AU55" t="str">
        <f>$AU$10</f>
        <v>2026/11/12</v>
      </c>
      <c r="AV55">
        <f>_xll.RssFOPMarket(191237518,"最良売気配値1")</f>
        <v>2255</v>
      </c>
      <c r="AW55">
        <f>_xll.RssFOPMarket(191237518,"最良売気配数量1")</f>
        <v>19</v>
      </c>
      <c r="AX55">
        <f>_xll.RssFOPMarket(191237518,"最良買気配値1")</f>
        <v>2140</v>
      </c>
      <c r="AY55">
        <f>_xll.RssFOPMarket(191237518,"最良買気配数量1")</f>
        <v>19</v>
      </c>
      <c r="AZ55">
        <f>_xll.RssFOPMarket(191237518,"現在値")</f>
        <v>0</v>
      </c>
      <c r="BA55">
        <f>_xll.RssFOPMarket(191237518,"出来高")</f>
        <v>0</v>
      </c>
      <c r="BB55">
        <f>_xll.RssFOPMarket(191237518,"売買代金")</f>
        <v>0</v>
      </c>
      <c r="BC55">
        <f>_xll.RssFOPMarket(191237518,"始値")</f>
        <v>0</v>
      </c>
      <c r="BD55">
        <f>_xll.RssFOPMarket(191237518,"高値")</f>
        <v>0</v>
      </c>
      <c r="BE55">
        <f>_xll.RssFOPMarket(191237518,"安値")</f>
        <v>0</v>
      </c>
      <c r="BF55">
        <f>_xll.RssFOPMarket(191237518,"前日終値")</f>
        <v>2350</v>
      </c>
      <c r="BH55">
        <v>181237518</v>
      </c>
      <c r="BI55" t="str">
        <f>_xll.RssFOPMarket(181237518,"銘柄名称")</f>
        <v>日経225オプション 26-11 P 67500</v>
      </c>
      <c r="BJ55">
        <v>1</v>
      </c>
      <c r="BK55" s="3" t="s">
        <v>13</v>
      </c>
      <c r="BL55" t="s">
        <v>16</v>
      </c>
      <c r="BM55">
        <v>67500</v>
      </c>
      <c r="BO55" t="str">
        <f>$AU$10</f>
        <v>2026/11/12</v>
      </c>
      <c r="BP55">
        <f>_xll.RssFOPMarket(181237518,"最良売気配値1")</f>
        <v>1690</v>
      </c>
      <c r="BQ55">
        <f>_xll.RssFOPMarket(181237518,"最良売気配数量1")</f>
        <v>2</v>
      </c>
      <c r="BR55">
        <f>_xll.RssFOPMarket(181237518,"最良買気配値1")</f>
        <v>1650</v>
      </c>
      <c r="BS55">
        <f>_xll.RssFOPMarket(181237518,"最良買気配数量1")</f>
        <v>12</v>
      </c>
      <c r="BT55">
        <f>_xll.RssFOPMarket(181237518,"現在値")</f>
        <v>0</v>
      </c>
      <c r="BU55">
        <f>_xll.RssFOPMarket(181237518,"出来高")</f>
        <v>0</v>
      </c>
      <c r="BV55">
        <f>_xll.RssFOPMarket(181237518,"売買代金")</f>
        <v>0</v>
      </c>
      <c r="BW55">
        <f>_xll.RssFOPMarket(181237518,"始値")</f>
        <v>0</v>
      </c>
      <c r="BX55">
        <f>_xll.RssFOPMarket(181237518,"高値")</f>
        <v>0</v>
      </c>
      <c r="BY55">
        <f>_xll.RssFOPMarket(181237518,"安値")</f>
        <v>0</v>
      </c>
      <c r="BZ55">
        <f>_xll.RssFOPMarket(181237518,"前日終値")</f>
        <v>1630</v>
      </c>
    </row>
    <row r="56" spans="40:78">
      <c r="AN56">
        <v>141358018</v>
      </c>
      <c r="AO56" t="str">
        <f>_xll.RssFOPMarket(141358018,"銘柄名称")</f>
        <v>日経225オプション 26-11 C 68000</v>
      </c>
      <c r="AP56">
        <v>1</v>
      </c>
      <c r="AQ56" s="3" t="s">
        <v>13</v>
      </c>
      <c r="AR56" t="s">
        <v>17</v>
      </c>
      <c r="AS56">
        <v>68000</v>
      </c>
      <c r="AU56" t="str">
        <f>$AU$10</f>
        <v>2026/11/12</v>
      </c>
      <c r="AV56">
        <f>_xll.RssFOPMarket(141358018,"最良売気配値1")</f>
        <v>1960</v>
      </c>
      <c r="AW56">
        <f>_xll.RssFOPMarket(141358018,"最良売気配数量1")</f>
        <v>15</v>
      </c>
      <c r="AX56">
        <f>_xll.RssFOPMarket(141358018,"最良買気配値1")</f>
        <v>1865</v>
      </c>
      <c r="AY56">
        <f>_xll.RssFOPMarket(141358018,"最良買気配数量1")</f>
        <v>30</v>
      </c>
      <c r="AZ56">
        <f>_xll.RssFOPMarket(141358018,"現在値")</f>
        <v>2030</v>
      </c>
      <c r="BA56">
        <f>_xll.RssFOPMarket(141358018,"出来高")</f>
        <v>10</v>
      </c>
      <c r="BB56">
        <f>_xll.RssFOPMarket(141358018,"売買代金")</f>
        <v>20290</v>
      </c>
      <c r="BC56">
        <f>_xll.RssFOPMarket(141358018,"始値")</f>
        <v>2020</v>
      </c>
      <c r="BD56">
        <f>_xll.RssFOPMarket(141358018,"高値")</f>
        <v>2030</v>
      </c>
      <c r="BE56">
        <f>_xll.RssFOPMarket(141358018,"安値")</f>
        <v>2020</v>
      </c>
      <c r="BF56">
        <f>_xll.RssFOPMarket(141358018,"前日終値")</f>
        <v>1915</v>
      </c>
      <c r="BH56">
        <v>131358018</v>
      </c>
      <c r="BI56" t="str">
        <f>_xll.RssFOPMarket(131358018,"銘柄名称")</f>
        <v>日経225オプション 26-11 P 68000</v>
      </c>
      <c r="BJ56">
        <v>1</v>
      </c>
      <c r="BK56" s="3" t="s">
        <v>13</v>
      </c>
      <c r="BL56" t="s">
        <v>16</v>
      </c>
      <c r="BM56">
        <v>68000</v>
      </c>
      <c r="BO56" t="str">
        <f>$AU$10</f>
        <v>2026/11/12</v>
      </c>
      <c r="BP56">
        <f>_xll.RssFOPMarket(131358018,"最良売気配値1")</f>
        <v>1915</v>
      </c>
      <c r="BQ56">
        <f>_xll.RssFOPMarket(131358018,"最良売気配数量1")</f>
        <v>5</v>
      </c>
      <c r="BR56">
        <f>_xll.RssFOPMarket(131358018,"最良買気配値1")</f>
        <v>1865</v>
      </c>
      <c r="BS56">
        <f>_xll.RssFOPMarket(131358018,"最良買気配数量1")</f>
        <v>17</v>
      </c>
      <c r="BT56">
        <f>_xll.RssFOPMarket(131358018,"現在値")</f>
        <v>1780</v>
      </c>
      <c r="BU56">
        <f>_xll.RssFOPMarket(131358018,"出来高")</f>
        <v>19</v>
      </c>
      <c r="BV56">
        <f>_xll.RssFOPMarket(131358018,"売買代金")</f>
        <v>33820</v>
      </c>
      <c r="BW56">
        <f>_xll.RssFOPMarket(131358018,"始値")</f>
        <v>1825</v>
      </c>
      <c r="BX56">
        <f>_xll.RssFOPMarket(131358018,"高値")</f>
        <v>1825</v>
      </c>
      <c r="BY56">
        <f>_xll.RssFOPMarket(131358018,"安値")</f>
        <v>1770</v>
      </c>
      <c r="BZ56">
        <f>_xll.RssFOPMarket(131358018,"前日終値")</f>
        <v>1945</v>
      </c>
    </row>
    <row r="57" spans="40:78">
      <c r="AN57">
        <v>141238518</v>
      </c>
      <c r="AO57" t="str">
        <f>_xll.RssFOPMarket(141238518,"銘柄名称")</f>
        <v>日経225オプション 26-11 C 68500</v>
      </c>
      <c r="AP57">
        <v>1</v>
      </c>
      <c r="AQ57" s="3" t="s">
        <v>13</v>
      </c>
      <c r="AR57" t="s">
        <v>17</v>
      </c>
      <c r="AS57">
        <v>68500</v>
      </c>
      <c r="AU57" t="str">
        <f>$AU$10</f>
        <v>2026/11/12</v>
      </c>
      <c r="AV57">
        <f>_xll.RssFOPMarket(141238518,"最良売気配値1")</f>
        <v>1695</v>
      </c>
      <c r="AW57">
        <f>_xll.RssFOPMarket(141238518,"最良売気配数量1")</f>
        <v>12</v>
      </c>
      <c r="AX57">
        <f>_xll.RssFOPMarket(141238518,"最良買気配値1")</f>
        <v>1635</v>
      </c>
      <c r="AY57">
        <f>_xll.RssFOPMarket(141238518,"最良買気配数量1")</f>
        <v>12</v>
      </c>
      <c r="AZ57">
        <f>_xll.RssFOPMarket(141238518,"現在値")</f>
        <v>0</v>
      </c>
      <c r="BA57">
        <f>_xll.RssFOPMarket(141238518,"出来高")</f>
        <v>0</v>
      </c>
      <c r="BB57">
        <f>_xll.RssFOPMarket(141238518,"売買代金")</f>
        <v>0</v>
      </c>
      <c r="BC57">
        <f>_xll.RssFOPMarket(141238518,"始値")</f>
        <v>0</v>
      </c>
      <c r="BD57">
        <f>_xll.RssFOPMarket(141238518,"高値")</f>
        <v>0</v>
      </c>
      <c r="BE57">
        <f>_xll.RssFOPMarket(141238518,"安値")</f>
        <v>0</v>
      </c>
      <c r="BF57">
        <f>_xll.RssFOPMarket(141238518,"前日終値")</f>
        <v>1565</v>
      </c>
      <c r="BH57">
        <v>131238518</v>
      </c>
      <c r="BI57" t="str">
        <f>_xll.RssFOPMarket(131238518,"銘柄名称")</f>
        <v>日経225オプション 26-11 P 68500</v>
      </c>
      <c r="BJ57">
        <v>1</v>
      </c>
      <c r="BK57" s="3" t="s">
        <v>13</v>
      </c>
      <c r="BL57" t="s">
        <v>16</v>
      </c>
      <c r="BM57">
        <v>68500</v>
      </c>
      <c r="BO57" t="str">
        <f>$AU$10</f>
        <v>2026/11/12</v>
      </c>
      <c r="BP57">
        <f>_xll.RssFOPMarket(131238518,"最良売気配値1")</f>
        <v>2160</v>
      </c>
      <c r="BQ57">
        <f>_xll.RssFOPMarket(131238518,"最良売気配数量1")</f>
        <v>4</v>
      </c>
      <c r="BR57">
        <f>_xll.RssFOPMarket(131238518,"最良買気配値1")</f>
        <v>2115</v>
      </c>
      <c r="BS57">
        <f>_xll.RssFOPMarket(131238518,"最良買気配数量1")</f>
        <v>14</v>
      </c>
      <c r="BT57">
        <f>_xll.RssFOPMarket(131238518,"現在値")</f>
        <v>0</v>
      </c>
      <c r="BU57">
        <f>_xll.RssFOPMarket(131238518,"出来高")</f>
        <v>0</v>
      </c>
      <c r="BV57">
        <f>_xll.RssFOPMarket(131238518,"売買代金")</f>
        <v>0</v>
      </c>
      <c r="BW57">
        <f>_xll.RssFOPMarket(131238518,"始値")</f>
        <v>0</v>
      </c>
      <c r="BX57">
        <f>_xll.RssFOPMarket(131238518,"高値")</f>
        <v>0</v>
      </c>
      <c r="BY57">
        <f>_xll.RssFOPMarket(131238518,"安値")</f>
        <v>0</v>
      </c>
      <c r="BZ57">
        <f>_xll.RssFOPMarket(131238518,"前日終値")</f>
        <v>2000</v>
      </c>
    </row>
    <row r="58" spans="40:78">
      <c r="AN58">
        <v>141359018</v>
      </c>
      <c r="AO58" t="str">
        <f>_xll.RssFOPMarket(141359018,"銘柄名称")</f>
        <v>日経225オプション 26-11 C 69000</v>
      </c>
      <c r="AP58">
        <v>1</v>
      </c>
      <c r="AQ58" s="3" t="s">
        <v>13</v>
      </c>
      <c r="AR58" t="s">
        <v>17</v>
      </c>
      <c r="AS58">
        <v>69000</v>
      </c>
      <c r="AU58" t="str">
        <f>$AU$10</f>
        <v>2026/11/12</v>
      </c>
      <c r="AV58">
        <f>_xll.RssFOPMarket(141359018,"最良売気配値1")</f>
        <v>1460</v>
      </c>
      <c r="AW58">
        <f>_xll.RssFOPMarket(141359018,"最良売気配数量1")</f>
        <v>17</v>
      </c>
      <c r="AX58">
        <f>_xll.RssFOPMarket(141359018,"最良買気配値1")</f>
        <v>1410</v>
      </c>
      <c r="AY58">
        <f>_xll.RssFOPMarket(141359018,"最良買気配数量1")</f>
        <v>17</v>
      </c>
      <c r="AZ58">
        <f>_xll.RssFOPMarket(141359018,"現在値")</f>
        <v>1410</v>
      </c>
      <c r="BA58">
        <f>_xll.RssFOPMarket(141359018,"出来高")</f>
        <v>1</v>
      </c>
      <c r="BB58">
        <f>_xll.RssFOPMarket(141359018,"売買代金")</f>
        <v>1410</v>
      </c>
      <c r="BC58">
        <f>_xll.RssFOPMarket(141359018,"始値")</f>
        <v>1410</v>
      </c>
      <c r="BD58">
        <f>_xll.RssFOPMarket(141359018,"高値")</f>
        <v>1410</v>
      </c>
      <c r="BE58">
        <f>_xll.RssFOPMarket(141359018,"安値")</f>
        <v>1410</v>
      </c>
      <c r="BF58">
        <f>_xll.RssFOPMarket(141359018,"前日終値")</f>
        <v>1460</v>
      </c>
      <c r="BH58">
        <v>131359018</v>
      </c>
      <c r="BI58" t="str">
        <f>_xll.RssFOPMarket(131359018,"銘柄名称")</f>
        <v>日経225オプション 26-11 P 69000</v>
      </c>
      <c r="BJ58">
        <v>1</v>
      </c>
      <c r="BK58" s="3" t="s">
        <v>13</v>
      </c>
      <c r="BL58" t="s">
        <v>16</v>
      </c>
      <c r="BM58">
        <v>69000</v>
      </c>
      <c r="BO58" t="str">
        <f>$AU$10</f>
        <v>2026/11/12</v>
      </c>
      <c r="BP58">
        <f>_xll.RssFOPMarket(131359018,"最良売気配値1")</f>
        <v>2470</v>
      </c>
      <c r="BQ58">
        <f>_xll.RssFOPMarket(131359018,"最良売気配数量1")</f>
        <v>27</v>
      </c>
      <c r="BR58">
        <f>_xll.RssFOPMarket(131359018,"最良買気配値1")</f>
        <v>2330</v>
      </c>
      <c r="BS58">
        <f>_xll.RssFOPMarket(131359018,"最良買気配数量1")</f>
        <v>27</v>
      </c>
      <c r="BT58">
        <f>_xll.RssFOPMarket(131359018,"現在値")</f>
        <v>2360</v>
      </c>
      <c r="BU58">
        <f>_xll.RssFOPMarket(131359018,"出来高")</f>
        <v>1</v>
      </c>
      <c r="BV58">
        <f>_xll.RssFOPMarket(131359018,"売買代金")</f>
        <v>2360</v>
      </c>
      <c r="BW58">
        <f>_xll.RssFOPMarket(131359018,"始値")</f>
        <v>2360</v>
      </c>
      <c r="BX58">
        <f>_xll.RssFOPMarket(131359018,"高値")</f>
        <v>2360</v>
      </c>
      <c r="BY58">
        <f>_xll.RssFOPMarket(131359018,"安値")</f>
        <v>2360</v>
      </c>
      <c r="BZ58">
        <f>_xll.RssFOPMarket(131359018,"前日終値")</f>
        <v>2430</v>
      </c>
    </row>
    <row r="59" spans="40:78">
      <c r="AN59">
        <v>141239518</v>
      </c>
      <c r="AO59" t="str">
        <f>_xll.RssFOPMarket(141239518,"銘柄名称")</f>
        <v>日経225オプション 26-11 C 69500</v>
      </c>
      <c r="AP59">
        <v>1</v>
      </c>
      <c r="AQ59" s="3" t="s">
        <v>13</v>
      </c>
      <c r="AR59" t="s">
        <v>17</v>
      </c>
      <c r="AS59">
        <v>69500</v>
      </c>
      <c r="AU59" t="str">
        <f>$AU$10</f>
        <v>2026/11/12</v>
      </c>
      <c r="AV59">
        <f>_xll.RssFOPMarket(141239518,"最良売気配値1")</f>
        <v>1250</v>
      </c>
      <c r="AW59">
        <f>_xll.RssFOPMarket(141239518,"最良売気配数量1")</f>
        <v>14</v>
      </c>
      <c r="AX59">
        <f>_xll.RssFOPMarket(141239518,"最良買気配値1")</f>
        <v>1215</v>
      </c>
      <c r="AY59">
        <f>_xll.RssFOPMarket(141239518,"最良買気配数量1")</f>
        <v>4</v>
      </c>
      <c r="AZ59">
        <f>_xll.RssFOPMarket(141239518,"現在値")</f>
        <v>0</v>
      </c>
      <c r="BA59">
        <f>_xll.RssFOPMarket(141239518,"出来高")</f>
        <v>0</v>
      </c>
      <c r="BB59">
        <f>_xll.RssFOPMarket(141239518,"売買代金")</f>
        <v>0</v>
      </c>
      <c r="BC59">
        <f>_xll.RssFOPMarket(141239518,"始値")</f>
        <v>0</v>
      </c>
      <c r="BD59">
        <f>_xll.RssFOPMarket(141239518,"高値")</f>
        <v>0</v>
      </c>
      <c r="BE59">
        <f>_xll.RssFOPMarket(141239518,"安値")</f>
        <v>0</v>
      </c>
      <c r="BF59">
        <f>_xll.RssFOPMarket(141239518,"前日終値")</f>
        <v>1185</v>
      </c>
      <c r="BH59">
        <v>131239518</v>
      </c>
      <c r="BI59" t="str">
        <f>_xll.RssFOPMarket(131239518,"銘柄名称")</f>
        <v>日経225オプション 26-11 P 69500</v>
      </c>
      <c r="BJ59">
        <v>1</v>
      </c>
      <c r="BK59" s="3" t="s">
        <v>13</v>
      </c>
      <c r="BL59" t="s">
        <v>16</v>
      </c>
      <c r="BM59">
        <v>69500</v>
      </c>
      <c r="BO59" t="str">
        <f>$AU$10</f>
        <v>2026/11/12</v>
      </c>
      <c r="BP59">
        <f>_xll.RssFOPMarket(131239518,"最良売気配値1")</f>
        <v>2760</v>
      </c>
      <c r="BQ59">
        <f>_xll.RssFOPMarket(131239518,"最良売気配数量1")</f>
        <v>12</v>
      </c>
      <c r="BR59">
        <f>_xll.RssFOPMarket(131239518,"最良買気配値1")</f>
        <v>2630</v>
      </c>
      <c r="BS59">
        <f>_xll.RssFOPMarket(131239518,"最良買気配数量1")</f>
        <v>19</v>
      </c>
      <c r="BT59">
        <f>_xll.RssFOPMarket(131239518,"現在値")</f>
        <v>0</v>
      </c>
      <c r="BU59">
        <f>_xll.RssFOPMarket(131239518,"出来高")</f>
        <v>0</v>
      </c>
      <c r="BV59">
        <f>_xll.RssFOPMarket(131239518,"売買代金")</f>
        <v>0</v>
      </c>
      <c r="BW59">
        <f>_xll.RssFOPMarket(131239518,"始値")</f>
        <v>0</v>
      </c>
      <c r="BX59">
        <f>_xll.RssFOPMarket(131239518,"高値")</f>
        <v>0</v>
      </c>
      <c r="BY59">
        <f>_xll.RssFOPMarket(131239518,"安値")</f>
        <v>0</v>
      </c>
      <c r="BZ59">
        <f>_xll.RssFOPMarket(131239518,"前日終値")</f>
        <v>2100</v>
      </c>
    </row>
    <row r="60" spans="40:78">
      <c r="AN60">
        <v>141350018</v>
      </c>
      <c r="AO60" t="str">
        <f>_xll.RssFOPMarket(141350018,"銘柄名称")</f>
        <v>日経225オプション 26-11 C 70000</v>
      </c>
      <c r="AP60">
        <v>1</v>
      </c>
      <c r="AQ60" s="3" t="s">
        <v>13</v>
      </c>
      <c r="AR60" t="s">
        <v>17</v>
      </c>
      <c r="AS60">
        <v>70000</v>
      </c>
      <c r="AU60" t="str">
        <f>$AU$10</f>
        <v>2026/11/12</v>
      </c>
      <c r="AV60">
        <f>_xll.RssFOPMarket(141350018,"最良売気配値1")</f>
        <v>1060</v>
      </c>
      <c r="AW60">
        <f>_xll.RssFOPMarket(141350018,"最良売気配数量1")</f>
        <v>30</v>
      </c>
      <c r="AX60">
        <f>_xll.RssFOPMarket(141350018,"最良買気配値1")</f>
        <v>1035</v>
      </c>
      <c r="AY60">
        <f>_xll.RssFOPMarket(141350018,"最良買気配数量1")</f>
        <v>2</v>
      </c>
      <c r="AZ60">
        <f>_xll.RssFOPMarket(141350018,"現在値")</f>
        <v>1055</v>
      </c>
      <c r="BA60">
        <f>_xll.RssFOPMarket(141350018,"出来高")</f>
        <v>13</v>
      </c>
      <c r="BB60">
        <f>_xll.RssFOPMarket(141350018,"売買代金")</f>
        <v>14035</v>
      </c>
      <c r="BC60">
        <f>_xll.RssFOPMarket(141350018,"始値")</f>
        <v>1150</v>
      </c>
      <c r="BD60">
        <f>_xll.RssFOPMarket(141350018,"高値")</f>
        <v>1150</v>
      </c>
      <c r="BE60">
        <f>_xll.RssFOPMarket(141350018,"安値")</f>
        <v>1055</v>
      </c>
      <c r="BF60">
        <f>_xll.RssFOPMarket(141350018,"前日終値")</f>
        <v>1030</v>
      </c>
      <c r="BH60">
        <v>131350018</v>
      </c>
      <c r="BI60" t="str">
        <f>_xll.RssFOPMarket(131350018,"銘柄名称")</f>
        <v>日経225オプション 26-11 P 70000</v>
      </c>
      <c r="BJ60">
        <v>1</v>
      </c>
      <c r="BK60" s="3" t="s">
        <v>13</v>
      </c>
      <c r="BL60" t="s">
        <v>16</v>
      </c>
      <c r="BM60">
        <v>70000</v>
      </c>
      <c r="BO60" t="str">
        <f>$AU$10</f>
        <v>2026/11/12</v>
      </c>
      <c r="BP60">
        <f>_xll.RssFOPMarket(131350018,"最良売気配値1")</f>
        <v>3085</v>
      </c>
      <c r="BQ60">
        <f>_xll.RssFOPMarket(131350018,"最良売気配数量1")</f>
        <v>27</v>
      </c>
      <c r="BR60">
        <f>_xll.RssFOPMarket(131350018,"最良買気配値1")</f>
        <v>2945</v>
      </c>
      <c r="BS60">
        <f>_xll.RssFOPMarket(131350018,"最良買気配数量1")</f>
        <v>27</v>
      </c>
      <c r="BT60">
        <f>_xll.RssFOPMarket(131350018,"現在値")</f>
        <v>0</v>
      </c>
      <c r="BU60">
        <f>_xll.RssFOPMarket(131350018,"出来高")</f>
        <v>0</v>
      </c>
      <c r="BV60">
        <f>_xll.RssFOPMarket(131350018,"売買代金")</f>
        <v>0</v>
      </c>
      <c r="BW60">
        <f>_xll.RssFOPMarket(131350018,"始値")</f>
        <v>0</v>
      </c>
      <c r="BX60">
        <f>_xll.RssFOPMarket(131350018,"高値")</f>
        <v>0</v>
      </c>
      <c r="BY60">
        <f>_xll.RssFOPMarket(131350018,"安値")</f>
        <v>0</v>
      </c>
      <c r="BZ60">
        <f>_xll.RssFOPMarket(131350018,"前日終値")</f>
        <v>3010</v>
      </c>
    </row>
    <row r="61" spans="40:78">
      <c r="AN61">
        <v>141230518</v>
      </c>
      <c r="AO61" t="str">
        <f>_xll.RssFOPMarket(141230518,"銘柄名称")</f>
        <v>日経225オプション 26-11 C 70500</v>
      </c>
      <c r="AP61">
        <v>1</v>
      </c>
      <c r="AQ61" s="3" t="s">
        <v>13</v>
      </c>
      <c r="AR61" t="s">
        <v>17</v>
      </c>
      <c r="AS61">
        <v>70500</v>
      </c>
      <c r="AU61" t="str">
        <f>$AU$10</f>
        <v>2026/11/12</v>
      </c>
      <c r="AV61">
        <f>_xll.RssFOPMarket(141230518,"最良売気配値1")</f>
        <v>890</v>
      </c>
      <c r="AW61">
        <f>_xll.RssFOPMarket(141230518,"最良売気配数量1")</f>
        <v>26</v>
      </c>
      <c r="AX61">
        <f>_xll.RssFOPMarket(141230518,"最良買気配値1")</f>
        <v>870</v>
      </c>
      <c r="AY61">
        <f>_xll.RssFOPMarket(141230518,"最良買気配数量1")</f>
        <v>4</v>
      </c>
      <c r="AZ61">
        <f>_xll.RssFOPMarket(141230518,"現在値")</f>
        <v>900</v>
      </c>
      <c r="BA61">
        <f>_xll.RssFOPMarket(141230518,"出来高")</f>
        <v>2</v>
      </c>
      <c r="BB61">
        <f>_xll.RssFOPMarket(141230518,"売買代金")</f>
        <v>1865</v>
      </c>
      <c r="BC61">
        <f>_xll.RssFOPMarket(141230518,"始値")</f>
        <v>965</v>
      </c>
      <c r="BD61">
        <f>_xll.RssFOPMarket(141230518,"高値")</f>
        <v>965</v>
      </c>
      <c r="BE61">
        <f>_xll.RssFOPMarket(141230518,"安値")</f>
        <v>900</v>
      </c>
      <c r="BF61">
        <f>_xll.RssFOPMarket(141230518,"前日終値")</f>
        <v>865</v>
      </c>
      <c r="BH61">
        <v>131230518</v>
      </c>
      <c r="BI61" t="str">
        <f>_xll.RssFOPMarket(131230518,"銘柄名称")</f>
        <v>日経225オプション 26-11 P 70500</v>
      </c>
      <c r="BJ61">
        <v>1</v>
      </c>
      <c r="BK61" s="3" t="s">
        <v>13</v>
      </c>
      <c r="BL61" t="s">
        <v>16</v>
      </c>
      <c r="BM61">
        <v>70500</v>
      </c>
      <c r="BO61" t="str">
        <f>$AU$10</f>
        <v>2026/11/12</v>
      </c>
      <c r="BP61">
        <f>_xll.RssFOPMarket(131230518,"最良売気配値1")</f>
        <v>3490</v>
      </c>
      <c r="BQ61">
        <f>_xll.RssFOPMarket(131230518,"最良売気配数量1")</f>
        <v>19</v>
      </c>
      <c r="BR61">
        <f>_xll.RssFOPMarket(131230518,"最良買気配値1")</f>
        <v>3230</v>
      </c>
      <c r="BS61">
        <f>_xll.RssFOPMarket(131230518,"最良買気配数量1")</f>
        <v>19</v>
      </c>
      <c r="BT61">
        <f>_xll.RssFOPMarket(131230518,"現在値")</f>
        <v>0</v>
      </c>
      <c r="BU61">
        <f>_xll.RssFOPMarket(131230518,"出来高")</f>
        <v>0</v>
      </c>
      <c r="BV61">
        <f>_xll.RssFOPMarket(131230518,"売買代金")</f>
        <v>0</v>
      </c>
      <c r="BW61">
        <f>_xll.RssFOPMarket(131230518,"始値")</f>
        <v>0</v>
      </c>
      <c r="BX61">
        <f>_xll.RssFOPMarket(131230518,"高値")</f>
        <v>0</v>
      </c>
      <c r="BY61">
        <f>_xll.RssFOPMarket(131230518,"安値")</f>
        <v>0</v>
      </c>
      <c r="BZ61">
        <f>_xll.RssFOPMarket(131230518,"前日終値")</f>
        <v>2185</v>
      </c>
    </row>
    <row r="62" spans="40:78">
      <c r="AN62">
        <v>141351018</v>
      </c>
      <c r="AO62" t="str">
        <f>_xll.RssFOPMarket(141351018,"銘柄名称")</f>
        <v>日経225オプション 26-11 C 71000</v>
      </c>
      <c r="AP62">
        <v>1</v>
      </c>
      <c r="AQ62" s="3" t="s">
        <v>13</v>
      </c>
      <c r="AR62" t="s">
        <v>17</v>
      </c>
      <c r="AS62">
        <v>71000</v>
      </c>
      <c r="AU62" t="str">
        <f>$AU$10</f>
        <v>2026/11/12</v>
      </c>
      <c r="AV62">
        <f>_xll.RssFOPMarket(141351018,"最良売気配値1")</f>
        <v>740</v>
      </c>
      <c r="AW62">
        <f>_xll.RssFOPMarket(141351018,"最良売気配数量1")</f>
        <v>4</v>
      </c>
      <c r="AX62">
        <f>_xll.RssFOPMarket(141351018,"最良買気配値1")</f>
        <v>725</v>
      </c>
      <c r="AY62">
        <f>_xll.RssFOPMarket(141351018,"最良買気配数量1")</f>
        <v>35</v>
      </c>
      <c r="AZ62">
        <f>_xll.RssFOPMarket(141351018,"現在値")</f>
        <v>795</v>
      </c>
      <c r="BA62">
        <f>_xll.RssFOPMarket(141351018,"出来高")</f>
        <v>3</v>
      </c>
      <c r="BB62">
        <f>_xll.RssFOPMarket(141351018,"売買代金")</f>
        <v>2425</v>
      </c>
      <c r="BC62">
        <f>_xll.RssFOPMarket(141351018,"始値")</f>
        <v>825</v>
      </c>
      <c r="BD62">
        <f>_xll.RssFOPMarket(141351018,"高値")</f>
        <v>825</v>
      </c>
      <c r="BE62">
        <f>_xll.RssFOPMarket(141351018,"安値")</f>
        <v>795</v>
      </c>
      <c r="BF62">
        <f>_xll.RssFOPMarket(141351018,"前日終値")</f>
        <v>710</v>
      </c>
      <c r="BH62">
        <v>131351018</v>
      </c>
      <c r="BI62" t="str">
        <f>_xll.RssFOPMarket(131351018,"銘柄名称")</f>
        <v>日経225オプション 26-11 P 71000</v>
      </c>
      <c r="BJ62">
        <v>1</v>
      </c>
      <c r="BK62" s="3" t="s">
        <v>13</v>
      </c>
      <c r="BL62" t="s">
        <v>16</v>
      </c>
      <c r="BM62">
        <v>71000</v>
      </c>
      <c r="BO62" t="str">
        <f>$AU$10</f>
        <v>2026/11/12</v>
      </c>
      <c r="BP62">
        <f>_xll.RssFOPMarket(131351018,"最良売気配値1")</f>
        <v>3935</v>
      </c>
      <c r="BQ62">
        <f>_xll.RssFOPMarket(131351018,"最良売気配数量1")</f>
        <v>20</v>
      </c>
      <c r="BR62">
        <f>_xll.RssFOPMarket(131351018,"最良買気配値1")</f>
        <v>3505</v>
      </c>
      <c r="BS62">
        <f>_xll.RssFOPMarket(131351018,"最良買気配数量1")</f>
        <v>20</v>
      </c>
      <c r="BT62">
        <f>_xll.RssFOPMarket(131351018,"現在値")</f>
        <v>0</v>
      </c>
      <c r="BU62">
        <f>_xll.RssFOPMarket(131351018,"出来高")</f>
        <v>0</v>
      </c>
      <c r="BV62">
        <f>_xll.RssFOPMarket(131351018,"売買代金")</f>
        <v>0</v>
      </c>
      <c r="BW62">
        <f>_xll.RssFOPMarket(131351018,"始値")</f>
        <v>0</v>
      </c>
      <c r="BX62">
        <f>_xll.RssFOPMarket(131351018,"高値")</f>
        <v>0</v>
      </c>
      <c r="BY62">
        <f>_xll.RssFOPMarket(131351018,"安値")</f>
        <v>0</v>
      </c>
      <c r="BZ62">
        <f>_xll.RssFOPMarket(131351018,"前日終値")</f>
        <v>2680</v>
      </c>
    </row>
    <row r="63" spans="40:78">
      <c r="AN63">
        <v>141231518</v>
      </c>
      <c r="AO63" t="str">
        <f>_xll.RssFOPMarket(141231518,"銘柄名称")</f>
        <v>日経225オプション 26-11 C 71500</v>
      </c>
      <c r="AP63">
        <v>1</v>
      </c>
      <c r="AQ63" s="3" t="s">
        <v>13</v>
      </c>
      <c r="AR63" t="s">
        <v>17</v>
      </c>
      <c r="AS63">
        <v>71500</v>
      </c>
      <c r="AU63" t="str">
        <f>$AU$10</f>
        <v>2026/11/12</v>
      </c>
      <c r="AV63">
        <f>_xll.RssFOPMarket(141231518,"最良売気配値1")</f>
        <v>620</v>
      </c>
      <c r="AW63">
        <f>_xll.RssFOPMarket(141231518,"最良売気配数量1")</f>
        <v>6</v>
      </c>
      <c r="AX63">
        <f>_xll.RssFOPMarket(141231518,"最良買気配値1")</f>
        <v>600</v>
      </c>
      <c r="AY63">
        <f>_xll.RssFOPMarket(141231518,"最良買気配数量1")</f>
        <v>6</v>
      </c>
      <c r="AZ63">
        <f>_xll.RssFOPMarket(141231518,"現在値")</f>
        <v>660</v>
      </c>
      <c r="BA63">
        <f>_xll.RssFOPMarket(141231518,"出来高")</f>
        <v>1</v>
      </c>
      <c r="BB63">
        <f>_xll.RssFOPMarket(141231518,"売買代金")</f>
        <v>660</v>
      </c>
      <c r="BC63">
        <f>_xll.RssFOPMarket(141231518,"始値")</f>
        <v>660</v>
      </c>
      <c r="BD63">
        <f>_xll.RssFOPMarket(141231518,"高値")</f>
        <v>660</v>
      </c>
      <c r="BE63">
        <f>_xll.RssFOPMarket(141231518,"安値")</f>
        <v>660</v>
      </c>
      <c r="BF63">
        <f>_xll.RssFOPMarket(141231518,"前日終値")</f>
        <v>590</v>
      </c>
      <c r="BK63" s="3"/>
    </row>
    <row r="64" spans="40:78">
      <c r="AN64">
        <v>141352018</v>
      </c>
      <c r="AO64" t="str">
        <f>_xll.RssFOPMarket(141352018,"銘柄名称")</f>
        <v>日経225オプション 26-11 C 72000</v>
      </c>
      <c r="AP64">
        <v>1</v>
      </c>
      <c r="AQ64" s="3" t="s">
        <v>13</v>
      </c>
      <c r="AR64" t="s">
        <v>17</v>
      </c>
      <c r="AS64">
        <v>72000</v>
      </c>
      <c r="AU64" t="str">
        <f>$AU$10</f>
        <v>2026/11/12</v>
      </c>
      <c r="AV64">
        <f>_xll.RssFOPMarket(141352018,"最良売気配値1")</f>
        <v>510</v>
      </c>
      <c r="AW64">
        <f>_xll.RssFOPMarket(141352018,"最良売気配数量1")</f>
        <v>4</v>
      </c>
      <c r="AX64">
        <f>_xll.RssFOPMarket(141352018,"最良買気配値1")</f>
        <v>495</v>
      </c>
      <c r="AY64">
        <f>_xll.RssFOPMarket(141352018,"最良買気配数量1")</f>
        <v>10</v>
      </c>
      <c r="AZ64">
        <f>_xll.RssFOPMarket(141352018,"現在値")</f>
        <v>495</v>
      </c>
      <c r="BA64">
        <f>_xll.RssFOPMarket(141352018,"出来高")</f>
        <v>4</v>
      </c>
      <c r="BB64">
        <f>_xll.RssFOPMarket(141352018,"売買代金")</f>
        <v>2140</v>
      </c>
      <c r="BC64">
        <f>_xll.RssFOPMarket(141352018,"始値")</f>
        <v>560</v>
      </c>
      <c r="BD64">
        <f>_xll.RssFOPMarket(141352018,"高値")</f>
        <v>560</v>
      </c>
      <c r="BE64">
        <f>_xll.RssFOPMarket(141352018,"安値")</f>
        <v>495</v>
      </c>
      <c r="BF64">
        <f>_xll.RssFOPMarket(141352018,"前日終値")</f>
        <v>515</v>
      </c>
      <c r="BK64" s="3"/>
    </row>
    <row r="65" spans="40:63">
      <c r="AN65">
        <v>191112518</v>
      </c>
      <c r="AO65" t="str">
        <f>_xll.RssFOPMarket(191112518,"銘柄名称")</f>
        <v>日経225オプション 26-11 C 72500</v>
      </c>
      <c r="AP65">
        <v>1</v>
      </c>
      <c r="AQ65" s="3" t="s">
        <v>13</v>
      </c>
      <c r="AR65" t="s">
        <v>17</v>
      </c>
      <c r="AS65">
        <v>72500</v>
      </c>
      <c r="AU65" t="str">
        <f>$AU$10</f>
        <v>2026/11/12</v>
      </c>
      <c r="AV65">
        <f>_xll.RssFOPMarket(191112518,"最良売気配値1")</f>
        <v>420</v>
      </c>
      <c r="AW65">
        <f>_xll.RssFOPMarket(191112518,"最良売気配数量1")</f>
        <v>4</v>
      </c>
      <c r="AX65">
        <f>_xll.RssFOPMarket(191112518,"最良買気配値1")</f>
        <v>405</v>
      </c>
      <c r="AY65">
        <f>_xll.RssFOPMarket(191112518,"最良買気配数量1")</f>
        <v>4</v>
      </c>
      <c r="AZ65">
        <f>_xll.RssFOPMarket(191112518,"現在値")</f>
        <v>415</v>
      </c>
      <c r="BA65">
        <f>_xll.RssFOPMarket(191112518,"出来高")</f>
        <v>1</v>
      </c>
      <c r="BB65">
        <f>_xll.RssFOPMarket(191112518,"売買代金")</f>
        <v>415</v>
      </c>
      <c r="BC65">
        <f>_xll.RssFOPMarket(191112518,"始値")</f>
        <v>415</v>
      </c>
      <c r="BD65">
        <f>_xll.RssFOPMarket(191112518,"高値")</f>
        <v>415</v>
      </c>
      <c r="BE65">
        <f>_xll.RssFOPMarket(191112518,"安値")</f>
        <v>415</v>
      </c>
      <c r="BF65">
        <f>_xll.RssFOPMarket(191112518,"前日終値")</f>
        <v>400</v>
      </c>
      <c r="BK65" s="3"/>
    </row>
    <row r="66" spans="40:63">
      <c r="AN66">
        <v>141353018</v>
      </c>
      <c r="AO66" t="str">
        <f>_xll.RssFOPMarket(141353018,"銘柄名称")</f>
        <v>日経225オプション 26-11 C 73000</v>
      </c>
      <c r="AP66">
        <v>1</v>
      </c>
      <c r="AQ66" s="3" t="s">
        <v>13</v>
      </c>
      <c r="AR66" t="s">
        <v>17</v>
      </c>
      <c r="AS66">
        <v>73000</v>
      </c>
      <c r="AU66" t="str">
        <f>$AU$10</f>
        <v>2026/11/12</v>
      </c>
      <c r="AV66">
        <f>_xll.RssFOPMarket(141353018,"最良売気配値1")</f>
        <v>345</v>
      </c>
      <c r="AW66">
        <f>_xll.RssFOPMarket(141353018,"最良売気配数量1")</f>
        <v>4</v>
      </c>
      <c r="AX66">
        <f>_xll.RssFOPMarket(141353018,"最良買気配値1")</f>
        <v>330</v>
      </c>
      <c r="AY66">
        <f>_xll.RssFOPMarket(141353018,"最良買気配数量1")</f>
        <v>4</v>
      </c>
      <c r="AZ66">
        <f>_xll.RssFOPMarket(141353018,"現在値")</f>
        <v>325</v>
      </c>
      <c r="BA66">
        <f>_xll.RssFOPMarket(141353018,"出来高")</f>
        <v>9</v>
      </c>
      <c r="BB66">
        <f>_xll.RssFOPMarket(141353018,"売買代金")</f>
        <v>3275</v>
      </c>
      <c r="BC66">
        <f>_xll.RssFOPMarket(141353018,"始値")</f>
        <v>380</v>
      </c>
      <c r="BD66">
        <f>_xll.RssFOPMarket(141353018,"高値")</f>
        <v>385</v>
      </c>
      <c r="BE66">
        <f>_xll.RssFOPMarket(141353018,"安値")</f>
        <v>325</v>
      </c>
      <c r="BF66">
        <f>_xll.RssFOPMarket(141353018,"前日終値")</f>
        <v>340</v>
      </c>
      <c r="BK66" s="3"/>
    </row>
    <row r="67" spans="40:63">
      <c r="AN67">
        <v>141233518</v>
      </c>
      <c r="AO67" t="str">
        <f>_xll.RssFOPMarket(141233518,"銘柄名称")</f>
        <v>日経225オプション 26-11 C 73500</v>
      </c>
      <c r="AP67">
        <v>1</v>
      </c>
      <c r="AQ67" s="3" t="s">
        <v>13</v>
      </c>
      <c r="AR67" t="s">
        <v>17</v>
      </c>
      <c r="AS67">
        <v>73500</v>
      </c>
      <c r="AU67" t="str">
        <f>$AU$10</f>
        <v>2026/11/12</v>
      </c>
      <c r="AV67">
        <f>_xll.RssFOPMarket(141233518,"最良売気配値1")</f>
        <v>280</v>
      </c>
      <c r="AW67">
        <f>_xll.RssFOPMarket(141233518,"最良売気配数量1")</f>
        <v>6</v>
      </c>
      <c r="AX67">
        <f>_xll.RssFOPMarket(141233518,"最良買気配値1")</f>
        <v>268</v>
      </c>
      <c r="AY67">
        <f>_xll.RssFOPMarket(141233518,"最良買気配数量1")</f>
        <v>7</v>
      </c>
      <c r="AZ67">
        <f>_xll.RssFOPMarket(141233518,"現在値")</f>
        <v>282</v>
      </c>
      <c r="BA67">
        <f>_xll.RssFOPMarket(141233518,"出来高")</f>
        <v>5</v>
      </c>
      <c r="BB67">
        <f>_xll.RssFOPMarket(141233518,"売買代金")</f>
        <v>1487</v>
      </c>
      <c r="BC67">
        <f>_xll.RssFOPMarket(141233518,"始値")</f>
        <v>305</v>
      </c>
      <c r="BD67">
        <f>_xll.RssFOPMarket(141233518,"高値")</f>
        <v>310</v>
      </c>
      <c r="BE67">
        <f>_xll.RssFOPMarket(141233518,"安値")</f>
        <v>282</v>
      </c>
      <c r="BF67">
        <f>_xll.RssFOPMarket(141233518,"前日終値")</f>
        <v>266</v>
      </c>
      <c r="BK67" s="3"/>
    </row>
    <row r="68" spans="40:63">
      <c r="AN68">
        <v>141354018</v>
      </c>
      <c r="AO68" t="str">
        <f>_xll.RssFOPMarket(141354018,"銘柄名称")</f>
        <v>日経225オプション 26-11 C 74000</v>
      </c>
      <c r="AP68">
        <v>1</v>
      </c>
      <c r="AQ68" s="3" t="s">
        <v>13</v>
      </c>
      <c r="AR68" t="s">
        <v>17</v>
      </c>
      <c r="AS68">
        <v>74000</v>
      </c>
      <c r="AU68" t="str">
        <f>$AU$10</f>
        <v>2026/11/12</v>
      </c>
      <c r="AV68">
        <f>_xll.RssFOPMarket(141354018,"最良売気配値1")</f>
        <v>228</v>
      </c>
      <c r="AW68">
        <f>_xll.RssFOPMarket(141354018,"最良売気配数量1")</f>
        <v>14</v>
      </c>
      <c r="AX68">
        <f>_xll.RssFOPMarket(141354018,"最良買気配値1")</f>
        <v>216</v>
      </c>
      <c r="AY68">
        <f>_xll.RssFOPMarket(141354018,"最良買気配数量1")</f>
        <v>35</v>
      </c>
      <c r="AZ68">
        <f>_xll.RssFOPMarket(141354018,"現在値")</f>
        <v>226</v>
      </c>
      <c r="BA68">
        <f>_xll.RssFOPMarket(141354018,"出来高")</f>
        <v>10</v>
      </c>
      <c r="BB68">
        <f>_xll.RssFOPMarket(141354018,"売買代金")</f>
        <v>2331</v>
      </c>
      <c r="BC68">
        <f>_xll.RssFOPMarket(141354018,"始値")</f>
        <v>244</v>
      </c>
      <c r="BD68">
        <f>_xll.RssFOPMarket(141354018,"高値")</f>
        <v>256</v>
      </c>
      <c r="BE68">
        <f>_xll.RssFOPMarket(141354018,"安値")</f>
        <v>218</v>
      </c>
      <c r="BF68">
        <f>_xll.RssFOPMarket(141354018,"前日終値")</f>
        <v>223</v>
      </c>
      <c r="BK68" s="3"/>
    </row>
    <row r="69" spans="40:63">
      <c r="AN69">
        <v>191234518</v>
      </c>
      <c r="AO69" t="str">
        <f>_xll.RssFOPMarket(191234518,"銘柄名称")</f>
        <v>日経225オプション 26-11 C 74500</v>
      </c>
      <c r="AP69">
        <v>1</v>
      </c>
      <c r="AQ69" s="3" t="s">
        <v>13</v>
      </c>
      <c r="AR69" t="s">
        <v>17</v>
      </c>
      <c r="AS69">
        <v>74500</v>
      </c>
      <c r="AU69" t="str">
        <f>$AU$10</f>
        <v>2026/11/12</v>
      </c>
      <c r="AV69">
        <f>_xll.RssFOPMarket(191234518,"最良売気配値1")</f>
        <v>184</v>
      </c>
      <c r="AW69">
        <f>_xll.RssFOPMarket(191234518,"最良売気配数量1")</f>
        <v>1</v>
      </c>
      <c r="AX69">
        <f>_xll.RssFOPMarket(191234518,"最良買気配値1")</f>
        <v>173</v>
      </c>
      <c r="AY69">
        <f>_xll.RssFOPMarket(191234518,"最良買気配数量1")</f>
        <v>25</v>
      </c>
      <c r="AZ69">
        <f>_xll.RssFOPMarket(191234518,"現在値")</f>
        <v>0</v>
      </c>
      <c r="BA69">
        <f>_xll.RssFOPMarket(191234518,"出来高")</f>
        <v>0</v>
      </c>
      <c r="BB69">
        <f>_xll.RssFOPMarket(191234518,"売買代金")</f>
        <v>0</v>
      </c>
      <c r="BC69">
        <f>_xll.RssFOPMarket(191234518,"始値")</f>
        <v>0</v>
      </c>
      <c r="BD69">
        <f>_xll.RssFOPMarket(191234518,"高値")</f>
        <v>0</v>
      </c>
      <c r="BE69">
        <f>_xll.RssFOPMarket(191234518,"安値")</f>
        <v>0</v>
      </c>
      <c r="BF69">
        <f>_xll.RssFOPMarket(191234518,"前日終値")</f>
        <v>183</v>
      </c>
      <c r="BK69" s="3"/>
    </row>
    <row r="70" spans="40:63">
      <c r="AN70">
        <v>191355018</v>
      </c>
      <c r="AO70" t="str">
        <f>_xll.RssFOPMarket(191355018,"銘柄名称")</f>
        <v>日経225オプション 26-11 C 75000</v>
      </c>
      <c r="AP70">
        <v>1</v>
      </c>
      <c r="AQ70" s="3" t="s">
        <v>13</v>
      </c>
      <c r="AR70" t="s">
        <v>17</v>
      </c>
      <c r="AS70">
        <v>75000</v>
      </c>
      <c r="AU70" t="str">
        <f>$AU$10</f>
        <v>2026/11/12</v>
      </c>
      <c r="AV70">
        <f>_xll.RssFOPMarket(191355018,"最良売気配値1")</f>
        <v>148</v>
      </c>
      <c r="AW70">
        <f>_xll.RssFOPMarket(191355018,"最良売気配数量1")</f>
        <v>10</v>
      </c>
      <c r="AX70">
        <f>_xll.RssFOPMarket(191355018,"最良買気配値1")</f>
        <v>139</v>
      </c>
      <c r="AY70">
        <f>_xll.RssFOPMarket(191355018,"最良買気配数量1")</f>
        <v>9</v>
      </c>
      <c r="AZ70">
        <f>_xll.RssFOPMarket(191355018,"現在値")</f>
        <v>142</v>
      </c>
      <c r="BA70">
        <f>_xll.RssFOPMarket(191355018,"出来高")</f>
        <v>30</v>
      </c>
      <c r="BB70">
        <f>_xll.RssFOPMarket(191355018,"売買代金")</f>
        <v>4675</v>
      </c>
      <c r="BC70">
        <f>_xll.RssFOPMarket(191355018,"始値")</f>
        <v>163</v>
      </c>
      <c r="BD70">
        <f>_xll.RssFOPMarket(191355018,"高値")</f>
        <v>168</v>
      </c>
      <c r="BE70">
        <f>_xll.RssFOPMarket(191355018,"安値")</f>
        <v>141</v>
      </c>
      <c r="BF70">
        <f>_xll.RssFOPMarket(191355018,"前日終値")</f>
        <v>148</v>
      </c>
      <c r="BK70" s="3"/>
    </row>
    <row r="71" spans="40:63">
      <c r="AN71">
        <v>191235518</v>
      </c>
      <c r="AO71" t="str">
        <f>_xll.RssFOPMarket(191235518,"銘柄名称")</f>
        <v>日経225オプション 26-11 C 75500</v>
      </c>
      <c r="AP71">
        <v>1</v>
      </c>
      <c r="AQ71" s="3" t="s">
        <v>13</v>
      </c>
      <c r="AR71" t="s">
        <v>17</v>
      </c>
      <c r="AS71">
        <v>75500</v>
      </c>
      <c r="AU71" t="str">
        <f>$AU$10</f>
        <v>2026/11/12</v>
      </c>
      <c r="AV71">
        <f>_xll.RssFOPMarket(191235518,"最良売気配値1")</f>
        <v>119</v>
      </c>
      <c r="AW71">
        <f>_xll.RssFOPMarket(191235518,"最良売気配数量1")</f>
        <v>11</v>
      </c>
      <c r="AX71">
        <f>_xll.RssFOPMarket(191235518,"最良買気配値1")</f>
        <v>112</v>
      </c>
      <c r="AY71">
        <f>_xll.RssFOPMarket(191235518,"最良買気配数量1")</f>
        <v>14</v>
      </c>
      <c r="AZ71">
        <f>_xll.RssFOPMarket(191235518,"現在値")</f>
        <v>130</v>
      </c>
      <c r="BA71">
        <f>_xll.RssFOPMarket(191235518,"出来高")</f>
        <v>6</v>
      </c>
      <c r="BB71">
        <f>_xll.RssFOPMarket(191235518,"売買代金")</f>
        <v>775</v>
      </c>
      <c r="BC71">
        <f>_xll.RssFOPMarket(191235518,"始値")</f>
        <v>125</v>
      </c>
      <c r="BD71">
        <f>_xll.RssFOPMarket(191235518,"高値")</f>
        <v>130</v>
      </c>
      <c r="BE71">
        <f>_xll.RssFOPMarket(191235518,"安値")</f>
        <v>125</v>
      </c>
      <c r="BF71">
        <f>_xll.RssFOPMarket(191235518,"前日終値")</f>
        <v>120</v>
      </c>
      <c r="BK71" s="3"/>
    </row>
    <row r="72" spans="40:63">
      <c r="AN72">
        <v>191356018</v>
      </c>
      <c r="AO72" t="str">
        <f>_xll.RssFOPMarket(191356018,"銘柄名称")</f>
        <v>日経225オプション 26-11 C 76000</v>
      </c>
      <c r="AP72">
        <v>1</v>
      </c>
      <c r="AQ72" s="3" t="s">
        <v>13</v>
      </c>
      <c r="AR72" t="s">
        <v>17</v>
      </c>
      <c r="AS72">
        <v>76000</v>
      </c>
      <c r="AU72" t="str">
        <f>$AU$10</f>
        <v>2026/11/12</v>
      </c>
      <c r="AV72">
        <f>_xll.RssFOPMarket(191356018,"最良売気配値1")</f>
        <v>94</v>
      </c>
      <c r="AW72">
        <f>_xll.RssFOPMarket(191356018,"最良売気配数量1")</f>
        <v>12</v>
      </c>
      <c r="AX72">
        <f>_xll.RssFOPMarket(191356018,"最良買気配値1")</f>
        <v>90</v>
      </c>
      <c r="AY72">
        <f>_xll.RssFOPMarket(191356018,"最良買気配数量1")</f>
        <v>1</v>
      </c>
      <c r="AZ72">
        <f>_xll.RssFOPMarket(191356018,"現在値")</f>
        <v>92</v>
      </c>
      <c r="BA72">
        <f>_xll.RssFOPMarket(191356018,"出来高")</f>
        <v>9</v>
      </c>
      <c r="BB72">
        <f>_xll.RssFOPMarket(191356018,"売買代金")</f>
        <v>924</v>
      </c>
      <c r="BC72">
        <f>_xll.RssFOPMarket(191356018,"始値")</f>
        <v>103</v>
      </c>
      <c r="BD72">
        <f>_xll.RssFOPMarket(191356018,"高値")</f>
        <v>107</v>
      </c>
      <c r="BE72">
        <f>_xll.RssFOPMarket(191356018,"安値")</f>
        <v>92</v>
      </c>
      <c r="BF72">
        <f>_xll.RssFOPMarket(191356018,"前日終値")</f>
        <v>91</v>
      </c>
      <c r="BK72" s="3"/>
    </row>
    <row r="73" spans="40:63">
      <c r="AN73">
        <v>191236518</v>
      </c>
      <c r="AO73" t="str">
        <f>_xll.RssFOPMarket(191236518,"銘柄名称")</f>
        <v>日経225オプション 26-11 C 76500</v>
      </c>
      <c r="AP73">
        <v>1</v>
      </c>
      <c r="AQ73" s="3" t="s">
        <v>13</v>
      </c>
      <c r="AR73" t="s">
        <v>17</v>
      </c>
      <c r="AS73">
        <v>76500</v>
      </c>
      <c r="AU73" t="str">
        <f>$AU$10</f>
        <v>2026/11/12</v>
      </c>
      <c r="AV73">
        <f>_xll.RssFOPMarket(191236518,"最良売気配値1")</f>
        <v>76</v>
      </c>
      <c r="AW73">
        <f>_xll.RssFOPMarket(191236518,"最良売気配数量1")</f>
        <v>29</v>
      </c>
      <c r="AX73">
        <f>_xll.RssFOPMarket(191236518,"最良買気配値1")</f>
        <v>70</v>
      </c>
      <c r="AY73">
        <f>_xll.RssFOPMarket(191236518,"最良買気配数量1")</f>
        <v>8</v>
      </c>
      <c r="AZ73">
        <f>_xll.RssFOPMarket(191236518,"現在値")</f>
        <v>0</v>
      </c>
      <c r="BA73">
        <f>_xll.RssFOPMarket(191236518,"出来高")</f>
        <v>0</v>
      </c>
      <c r="BB73">
        <f>_xll.RssFOPMarket(191236518,"売買代金")</f>
        <v>0</v>
      </c>
      <c r="BC73">
        <f>_xll.RssFOPMarket(191236518,"始値")</f>
        <v>0</v>
      </c>
      <c r="BD73">
        <f>_xll.RssFOPMarket(191236518,"高値")</f>
        <v>0</v>
      </c>
      <c r="BE73">
        <f>_xll.RssFOPMarket(191236518,"安値")</f>
        <v>0</v>
      </c>
      <c r="BF73">
        <f>_xll.RssFOPMarket(191236518,"前日終値")</f>
        <v>73</v>
      </c>
      <c r="BK73" s="3"/>
    </row>
    <row r="74" spans="40:63">
      <c r="AN74">
        <v>191357018</v>
      </c>
      <c r="AO74" t="str">
        <f>_xll.RssFOPMarket(191357018,"銘柄名称")</f>
        <v>日経225オプション 26-11 C 77000</v>
      </c>
      <c r="AP74">
        <v>1</v>
      </c>
      <c r="AQ74" s="3" t="s">
        <v>13</v>
      </c>
      <c r="AR74" t="s">
        <v>17</v>
      </c>
      <c r="AS74">
        <v>77000</v>
      </c>
      <c r="AU74" t="str">
        <f>$AU$10</f>
        <v>2026/11/12</v>
      </c>
      <c r="AV74">
        <f>_xll.RssFOPMarket(191357018,"最良売気配値1")</f>
        <v>61</v>
      </c>
      <c r="AW74">
        <f>_xll.RssFOPMarket(191357018,"最良売気配数量1")</f>
        <v>41</v>
      </c>
      <c r="AX74">
        <f>_xll.RssFOPMarket(191357018,"最良買気配値1")</f>
        <v>55</v>
      </c>
      <c r="AY74">
        <f>_xll.RssFOPMarket(191357018,"最良買気配数量1")</f>
        <v>12</v>
      </c>
      <c r="AZ74">
        <f>_xll.RssFOPMarket(191357018,"現在値")</f>
        <v>59</v>
      </c>
      <c r="BA74">
        <f>_xll.RssFOPMarket(191357018,"出来高")</f>
        <v>12</v>
      </c>
      <c r="BB74">
        <f>_xll.RssFOPMarket(191357018,"売買代金")</f>
        <v>726</v>
      </c>
      <c r="BC74">
        <f>_xll.RssFOPMarket(191357018,"始値")</f>
        <v>64</v>
      </c>
      <c r="BD74">
        <f>_xll.RssFOPMarket(191357018,"高値")</f>
        <v>68</v>
      </c>
      <c r="BE74">
        <f>_xll.RssFOPMarket(191357018,"安値")</f>
        <v>56</v>
      </c>
      <c r="BF74">
        <f>_xll.RssFOPMarket(191357018,"前日終値")</f>
        <v>60</v>
      </c>
      <c r="BK74" s="3"/>
    </row>
    <row r="75" spans="40:63">
      <c r="AN75">
        <v>141237518</v>
      </c>
      <c r="AO75" t="str">
        <f>_xll.RssFOPMarket(141237518,"銘柄名称")</f>
        <v>日経225オプション 26-11 C 77500</v>
      </c>
      <c r="AP75">
        <v>1</v>
      </c>
      <c r="AQ75" s="3" t="s">
        <v>13</v>
      </c>
      <c r="AR75" t="s">
        <v>17</v>
      </c>
      <c r="AS75">
        <v>77500</v>
      </c>
      <c r="AU75" t="str">
        <f>$AU$10</f>
        <v>2026/11/12</v>
      </c>
      <c r="AV75">
        <f>_xll.RssFOPMarket(141237518,"最良売気配値1")</f>
        <v>48</v>
      </c>
      <c r="AW75">
        <f>_xll.RssFOPMarket(141237518,"最良売気配数量1")</f>
        <v>8</v>
      </c>
      <c r="AX75">
        <f>_xll.RssFOPMarket(141237518,"最良買気配値1")</f>
        <v>43</v>
      </c>
      <c r="AY75">
        <f>_xll.RssFOPMarket(141237518,"最良買気配数量1")</f>
        <v>1</v>
      </c>
      <c r="AZ75">
        <f>_xll.RssFOPMarket(141237518,"現在値")</f>
        <v>45</v>
      </c>
      <c r="BA75">
        <f>_xll.RssFOPMarket(141237518,"出来高")</f>
        <v>5</v>
      </c>
      <c r="BB75">
        <f>_xll.RssFOPMarket(141237518,"売買代金")</f>
        <v>236</v>
      </c>
      <c r="BC75">
        <f>_xll.RssFOPMarket(141237518,"始値")</f>
        <v>50</v>
      </c>
      <c r="BD75">
        <f>_xll.RssFOPMarket(141237518,"高値")</f>
        <v>50</v>
      </c>
      <c r="BE75">
        <f>_xll.RssFOPMarket(141237518,"安値")</f>
        <v>45</v>
      </c>
      <c r="BF75">
        <f>_xll.RssFOPMarket(141237518,"前日終値")</f>
        <v>44</v>
      </c>
      <c r="BK75" s="3"/>
    </row>
    <row r="76" spans="40:63">
      <c r="AN76">
        <v>191358018</v>
      </c>
      <c r="AO76" t="str">
        <f>_xll.RssFOPMarket(191358018,"銘柄名称")</f>
        <v>日経225オプション 26-11 C 78000</v>
      </c>
      <c r="AP76">
        <v>1</v>
      </c>
      <c r="AQ76" s="3" t="s">
        <v>13</v>
      </c>
      <c r="AR76" t="s">
        <v>17</v>
      </c>
      <c r="AS76">
        <v>78000</v>
      </c>
      <c r="AU76" t="str">
        <f>$AU$10</f>
        <v>2026/11/12</v>
      </c>
      <c r="AV76">
        <f>_xll.RssFOPMarket(191358018,"最良売気配値1")</f>
        <v>37</v>
      </c>
      <c r="AW76">
        <f>_xll.RssFOPMarket(191358018,"最良売気配数量1")</f>
        <v>21</v>
      </c>
      <c r="AX76">
        <f>_xll.RssFOPMarket(191358018,"最良買気配値1")</f>
        <v>35</v>
      </c>
      <c r="AY76">
        <f>_xll.RssFOPMarket(191358018,"最良買気配数量1")</f>
        <v>1</v>
      </c>
      <c r="AZ76">
        <f>_xll.RssFOPMarket(191358018,"現在値")</f>
        <v>37</v>
      </c>
      <c r="BA76">
        <f>_xll.RssFOPMarket(191358018,"出来高")</f>
        <v>18</v>
      </c>
      <c r="BB76">
        <f>_xll.RssFOPMarket(191358018,"売買代金")</f>
        <v>700</v>
      </c>
      <c r="BC76">
        <f>_xll.RssFOPMarket(191358018,"始値")</f>
        <v>38</v>
      </c>
      <c r="BD76">
        <f>_xll.RssFOPMarket(191358018,"高値")</f>
        <v>41</v>
      </c>
      <c r="BE76">
        <f>_xll.RssFOPMarket(191358018,"安値")</f>
        <v>35</v>
      </c>
      <c r="BF76">
        <f>_xll.RssFOPMarket(191358018,"前日終値")</f>
        <v>37</v>
      </c>
      <c r="BK76" s="3"/>
    </row>
    <row r="77" spans="40:63">
      <c r="AN77">
        <v>191238518</v>
      </c>
      <c r="AO77" t="str">
        <f>_xll.RssFOPMarket(191238518,"銘柄名称")</f>
        <v>日経225オプション 26-11 C 78500</v>
      </c>
      <c r="AP77">
        <v>1</v>
      </c>
      <c r="AQ77" s="3" t="s">
        <v>13</v>
      </c>
      <c r="AR77" t="s">
        <v>17</v>
      </c>
      <c r="AS77">
        <v>78500</v>
      </c>
      <c r="AU77" t="str">
        <f>$AU$10</f>
        <v>2026/11/12</v>
      </c>
      <c r="AV77">
        <f>_xll.RssFOPMarket(191238518,"最良売気配値1")</f>
        <v>33</v>
      </c>
      <c r="AW77">
        <f>_xll.RssFOPMarket(191238518,"最良売気配数量1")</f>
        <v>29</v>
      </c>
      <c r="AX77">
        <f>_xll.RssFOPMarket(191238518,"最良買気配値1")</f>
        <v>26</v>
      </c>
      <c r="AY77">
        <f>_xll.RssFOPMarket(191238518,"最良買気配数量1")</f>
        <v>8</v>
      </c>
      <c r="AZ77">
        <f>_xll.RssFOPMarket(191238518,"現在値")</f>
        <v>33</v>
      </c>
      <c r="BA77">
        <f>_xll.RssFOPMarket(191238518,"出来高")</f>
        <v>1</v>
      </c>
      <c r="BB77">
        <f>_xll.RssFOPMarket(191238518,"売買代金")</f>
        <v>33</v>
      </c>
      <c r="BC77">
        <f>_xll.RssFOPMarket(191238518,"始値")</f>
        <v>33</v>
      </c>
      <c r="BD77">
        <f>_xll.RssFOPMarket(191238518,"高値")</f>
        <v>33</v>
      </c>
      <c r="BE77">
        <f>_xll.RssFOPMarket(191238518,"安値")</f>
        <v>33</v>
      </c>
      <c r="BF77">
        <f>_xll.RssFOPMarket(191238518,"前日終値")</f>
        <v>29</v>
      </c>
      <c r="BK77" s="3"/>
    </row>
    <row r="78" spans="40:63">
      <c r="AN78">
        <v>191359018</v>
      </c>
      <c r="AO78" t="str">
        <f>_xll.RssFOPMarket(191359018,"銘柄名称")</f>
        <v>日経225オプション 26-11 C 79000</v>
      </c>
      <c r="AP78">
        <v>1</v>
      </c>
      <c r="AQ78" s="3" t="s">
        <v>13</v>
      </c>
      <c r="AR78" t="s">
        <v>17</v>
      </c>
      <c r="AS78">
        <v>79000</v>
      </c>
      <c r="AU78" t="str">
        <f>$AU$10</f>
        <v>2026/11/12</v>
      </c>
      <c r="AV78">
        <f>_xll.RssFOPMarket(191359018,"最良売気配値1")</f>
        <v>23</v>
      </c>
      <c r="AW78">
        <f>_xll.RssFOPMarket(191359018,"最良売気配数量1")</f>
        <v>3</v>
      </c>
      <c r="AX78">
        <f>_xll.RssFOPMarket(191359018,"最良買気配値1")</f>
        <v>22</v>
      </c>
      <c r="AY78">
        <f>_xll.RssFOPMarket(191359018,"最良買気配数量1")</f>
        <v>2</v>
      </c>
      <c r="AZ78">
        <f>_xll.RssFOPMarket(191359018,"現在値")</f>
        <v>23</v>
      </c>
      <c r="BA78">
        <f>_xll.RssFOPMarket(191359018,"出来高")</f>
        <v>17</v>
      </c>
      <c r="BB78">
        <f>_xll.RssFOPMarket(191359018,"売買代金")</f>
        <v>406</v>
      </c>
      <c r="BC78">
        <f>_xll.RssFOPMarket(191359018,"始値")</f>
        <v>25</v>
      </c>
      <c r="BD78">
        <f>_xll.RssFOPMarket(191359018,"高値")</f>
        <v>25</v>
      </c>
      <c r="BE78">
        <f>_xll.RssFOPMarket(191359018,"安値")</f>
        <v>22</v>
      </c>
      <c r="BF78">
        <f>_xll.RssFOPMarket(191359018,"前日終値")</f>
        <v>24</v>
      </c>
      <c r="BK78" s="3"/>
    </row>
    <row r="79" spans="40:63">
      <c r="AN79">
        <v>191239518</v>
      </c>
      <c r="AO79" t="str">
        <f>_xll.RssFOPMarket(191239518,"銘柄名称")</f>
        <v>日経225オプション 26-11 C 79500</v>
      </c>
      <c r="AP79">
        <v>1</v>
      </c>
      <c r="AQ79" s="3" t="s">
        <v>13</v>
      </c>
      <c r="AR79" t="s">
        <v>17</v>
      </c>
      <c r="AS79">
        <v>79500</v>
      </c>
      <c r="AU79" t="str">
        <f>$AU$10</f>
        <v>2026/11/12</v>
      </c>
      <c r="AV79">
        <f>_xll.RssFOPMarket(191239518,"最良売気配値1")</f>
        <v>19</v>
      </c>
      <c r="AW79">
        <f>_xll.RssFOPMarket(191239518,"最良売気配数量1")</f>
        <v>8</v>
      </c>
      <c r="AX79">
        <f>_xll.RssFOPMarket(191239518,"最良買気配値1")</f>
        <v>17</v>
      </c>
      <c r="AY79">
        <f>_xll.RssFOPMarket(191239518,"最良買気配数量1")</f>
        <v>1</v>
      </c>
      <c r="AZ79">
        <f>_xll.RssFOPMarket(191239518,"現在値")</f>
        <v>18</v>
      </c>
      <c r="BA79">
        <f>_xll.RssFOPMarket(191239518,"出来高")</f>
        <v>3</v>
      </c>
      <c r="BB79">
        <f>_xll.RssFOPMarket(191239518,"売買代金")</f>
        <v>58</v>
      </c>
      <c r="BC79">
        <f>_xll.RssFOPMarket(191239518,"始値")</f>
        <v>20</v>
      </c>
      <c r="BD79">
        <f>_xll.RssFOPMarket(191239518,"高値")</f>
        <v>20</v>
      </c>
      <c r="BE79">
        <f>_xll.RssFOPMarket(191239518,"安値")</f>
        <v>18</v>
      </c>
      <c r="BF79">
        <f>_xll.RssFOPMarket(191239518,"前日終値")</f>
        <v>19</v>
      </c>
      <c r="BK79" s="3"/>
    </row>
    <row r="80" spans="40:63">
      <c r="AN80">
        <v>191350018</v>
      </c>
      <c r="AO80" t="str">
        <f>_xll.RssFOPMarket(191350018,"銘柄名称")</f>
        <v>日経225オプション 26-11 C 80000</v>
      </c>
      <c r="AP80">
        <v>1</v>
      </c>
      <c r="AQ80" s="3" t="s">
        <v>13</v>
      </c>
      <c r="AR80" t="s">
        <v>17</v>
      </c>
      <c r="AS80">
        <v>80000</v>
      </c>
      <c r="AU80" t="str">
        <f>$AU$10</f>
        <v>2026/11/12</v>
      </c>
      <c r="AV80">
        <f>_xll.RssFOPMarket(191350018,"最良売気配値1")</f>
        <v>15</v>
      </c>
      <c r="AW80">
        <f>_xll.RssFOPMarket(191350018,"最良売気配数量1")</f>
        <v>3</v>
      </c>
      <c r="AX80">
        <f>_xll.RssFOPMarket(191350018,"最良買気配値1")</f>
        <v>14</v>
      </c>
      <c r="AY80">
        <f>_xll.RssFOPMarket(191350018,"最良買気配数量1")</f>
        <v>3</v>
      </c>
      <c r="AZ80">
        <f>_xll.RssFOPMarket(191350018,"現在値")</f>
        <v>14</v>
      </c>
      <c r="BA80">
        <f>_xll.RssFOPMarket(191350018,"出来高")</f>
        <v>52</v>
      </c>
      <c r="BB80">
        <f>_xll.RssFOPMarket(191350018,"売買代金")</f>
        <v>787</v>
      </c>
      <c r="BC80">
        <f>_xll.RssFOPMarket(191350018,"始値")</f>
        <v>15</v>
      </c>
      <c r="BD80">
        <f>_xll.RssFOPMarket(191350018,"高値")</f>
        <v>17</v>
      </c>
      <c r="BE80">
        <f>_xll.RssFOPMarket(191350018,"安値")</f>
        <v>14</v>
      </c>
      <c r="BF80">
        <f>_xll.RssFOPMarket(191350018,"前日終値")</f>
        <v>15</v>
      </c>
      <c r="BK80" s="3"/>
    </row>
    <row r="81" spans="40:63">
      <c r="AQ81" s="3"/>
      <c r="BK81" s="3"/>
    </row>
    <row r="82" spans="40:63">
      <c r="AQ82" s="3"/>
      <c r="BK82" s="3"/>
    </row>
    <row r="83" spans="40:63">
      <c r="AQ83" s="3"/>
      <c r="BK83" s="3"/>
    </row>
    <row r="84" spans="40:63">
      <c r="AQ84" s="3"/>
      <c r="BK84" s="3"/>
    </row>
    <row r="85" spans="40:63">
      <c r="AN85">
        <v>191232518</v>
      </c>
      <c r="AO85" t="str">
        <f>_xll.RssFOPMarket(191232518,"銘柄名称")</f>
        <v>日経225オプション 26-11 C 82500</v>
      </c>
      <c r="AP85">
        <v>1</v>
      </c>
      <c r="AQ85" s="3" t="s">
        <v>13</v>
      </c>
      <c r="AR85" t="s">
        <v>17</v>
      </c>
      <c r="AS85">
        <v>82500</v>
      </c>
      <c r="AU85" t="str">
        <f>$AU$10</f>
        <v>2026/11/12</v>
      </c>
      <c r="AV85">
        <f>_xll.RssFOPMarket(191232518,"最良売気配値1")</f>
        <v>5</v>
      </c>
      <c r="AW85">
        <f>_xll.RssFOPMarket(191232518,"最良売気配数量1")</f>
        <v>2</v>
      </c>
      <c r="AX85">
        <f>_xll.RssFOPMarket(191232518,"最良買気配値1")</f>
        <v>4</v>
      </c>
      <c r="AY85">
        <f>_xll.RssFOPMarket(191232518,"最良買気配数量1")</f>
        <v>23</v>
      </c>
      <c r="AZ85">
        <f>_xll.RssFOPMarket(191232518,"現在値")</f>
        <v>5</v>
      </c>
      <c r="BA85">
        <f>_xll.RssFOPMarket(191232518,"出来高")</f>
        <v>9</v>
      </c>
      <c r="BB85">
        <f>_xll.RssFOPMarket(191232518,"売買代金")</f>
        <v>46</v>
      </c>
      <c r="BC85">
        <f>_xll.RssFOPMarket(191232518,"始値")</f>
        <v>6</v>
      </c>
      <c r="BD85">
        <f>_xll.RssFOPMarket(191232518,"高値")</f>
        <v>6</v>
      </c>
      <c r="BE85">
        <f>_xll.RssFOPMarket(191232518,"安値")</f>
        <v>5</v>
      </c>
      <c r="BF85">
        <f>_xll.RssFOPMarket(191232518,"前日終値")</f>
        <v>5</v>
      </c>
      <c r="BK85" s="3"/>
    </row>
    <row r="86" spans="40:63">
      <c r="AQ86" s="3"/>
      <c r="BK86" s="3"/>
    </row>
    <row r="87" spans="40:63">
      <c r="AQ87" s="3"/>
      <c r="BK87" s="3"/>
    </row>
    <row r="88" spans="40:63">
      <c r="AQ88" s="3"/>
      <c r="BK88" s="3"/>
    </row>
    <row r="89" spans="40:63">
      <c r="AQ89" s="3"/>
      <c r="BK89" s="3"/>
    </row>
    <row r="90" spans="40:63">
      <c r="AN90">
        <v>141475018</v>
      </c>
      <c r="AO90" t="str">
        <f>_xll.RssFOPMarket(141475018,"銘柄名称")</f>
        <v>日経225オプション 26-11 C 85000</v>
      </c>
      <c r="AP90">
        <v>1</v>
      </c>
      <c r="AQ90" s="3" t="s">
        <v>13</v>
      </c>
      <c r="AR90" t="s">
        <v>17</v>
      </c>
      <c r="AS90">
        <v>85000</v>
      </c>
      <c r="AU90" t="str">
        <f>$AU$10</f>
        <v>2026/11/12</v>
      </c>
      <c r="AV90">
        <f>_xll.RssFOPMarket(141475018,"最良売気配値1")</f>
        <v>3</v>
      </c>
      <c r="AW90">
        <f>_xll.RssFOPMarket(141475018,"最良売気配数量1")</f>
        <v>51</v>
      </c>
      <c r="AX90">
        <f>_xll.RssFOPMarket(141475018,"最良買気配値1")</f>
        <v>2</v>
      </c>
      <c r="AY90">
        <f>_xll.RssFOPMarket(141475018,"最良買気配数量1")</f>
        <v>3</v>
      </c>
      <c r="AZ90">
        <f>_xll.RssFOPMarket(141475018,"現在値")</f>
        <v>2</v>
      </c>
      <c r="BA90">
        <f>_xll.RssFOPMarket(141475018,"出来高")</f>
        <v>4</v>
      </c>
      <c r="BB90">
        <f>_xll.RssFOPMarket(141475018,"売買代金")</f>
        <v>8</v>
      </c>
      <c r="BC90">
        <f>_xll.RssFOPMarket(141475018,"始値")</f>
        <v>2</v>
      </c>
      <c r="BD90">
        <f>_xll.RssFOPMarket(141475018,"高値")</f>
        <v>2</v>
      </c>
      <c r="BE90">
        <f>_xll.RssFOPMarket(141475018,"安値")</f>
        <v>2</v>
      </c>
      <c r="BF90">
        <f>_xll.RssFOPMarket(141475018,"前日終値")</f>
        <v>2</v>
      </c>
      <c r="BK90" s="3"/>
    </row>
    <row r="91" spans="40:63">
      <c r="AQ91" s="3"/>
      <c r="BK91" s="3"/>
    </row>
    <row r="92" spans="40:63">
      <c r="AQ92" s="3"/>
      <c r="BK92" s="3"/>
    </row>
    <row r="93" spans="40:63">
      <c r="AQ93" s="3"/>
      <c r="BK93" s="3"/>
    </row>
    <row r="94" spans="40:63">
      <c r="AQ94" s="3"/>
      <c r="BK94" s="3"/>
    </row>
    <row r="95" spans="40:63">
      <c r="AN95">
        <v>141357518</v>
      </c>
      <c r="AO95" t="str">
        <f>_xll.RssFOPMarket(141357518,"銘柄名称")</f>
        <v>日経225オプション 26-11 C 87500</v>
      </c>
      <c r="AP95">
        <v>1</v>
      </c>
      <c r="AQ95" s="3" t="s">
        <v>13</v>
      </c>
      <c r="AR95" t="s">
        <v>17</v>
      </c>
      <c r="AS95">
        <v>87500</v>
      </c>
      <c r="AU95" t="str">
        <f>$AU$10</f>
        <v>2026/11/12</v>
      </c>
      <c r="AV95">
        <f>_xll.RssFOPMarket(141357518,"最良売気配値1")</f>
        <v>1</v>
      </c>
      <c r="AW95">
        <f>_xll.RssFOPMarket(141357518,"最良売気配数量1")</f>
        <v>1</v>
      </c>
      <c r="AX95">
        <f>_xll.RssFOPMarket(141357518,"最良買気配値1")</f>
        <v>0</v>
      </c>
      <c r="AY95">
        <f>_xll.RssFOPMarket(141357518,"最良買気配数量1")</f>
        <v>0</v>
      </c>
      <c r="AZ95">
        <f>_xll.RssFOPMarket(141357518,"現在値")</f>
        <v>1</v>
      </c>
      <c r="BA95">
        <f>_xll.RssFOPMarket(141357518,"出来高")</f>
        <v>5</v>
      </c>
      <c r="BB95">
        <f>_xll.RssFOPMarket(141357518,"売買代金")</f>
        <v>5</v>
      </c>
      <c r="BC95">
        <f>_xll.RssFOPMarket(141357518,"始値")</f>
        <v>1</v>
      </c>
      <c r="BD95">
        <f>_xll.RssFOPMarket(141357518,"高値")</f>
        <v>1</v>
      </c>
      <c r="BE95">
        <f>_xll.RssFOPMarket(141357518,"安値")</f>
        <v>1</v>
      </c>
      <c r="BF95">
        <f>_xll.RssFOPMarket(141357518,"前日終値")</f>
        <v>1</v>
      </c>
      <c r="BK95" s="3"/>
    </row>
    <row r="96" spans="40:63">
      <c r="AQ96" s="3"/>
      <c r="BK96" s="3"/>
    </row>
    <row r="97" spans="40:78">
      <c r="AQ97" s="3"/>
      <c r="BK97" s="3"/>
    </row>
    <row r="98" spans="40:78">
      <c r="AQ98" s="3"/>
      <c r="BK98" s="3"/>
    </row>
    <row r="99" spans="40:78">
      <c r="AQ99" s="3"/>
      <c r="BK99" s="3"/>
    </row>
    <row r="100" spans="40:78">
      <c r="AN100">
        <v>141470018</v>
      </c>
      <c r="AO100" t="str">
        <f>_xll.RssFOPMarket(141470018,"銘柄名称")</f>
        <v>日経225オプション 26-11 C 90000</v>
      </c>
      <c r="AP100">
        <v>1</v>
      </c>
      <c r="AQ100" s="3" t="s">
        <v>13</v>
      </c>
      <c r="AR100" t="s">
        <v>17</v>
      </c>
      <c r="AS100">
        <v>90000</v>
      </c>
      <c r="AU100" t="str">
        <f>$AU$10</f>
        <v>2026/11/12</v>
      </c>
      <c r="AV100">
        <f>_xll.RssFOPMarket(141470018,"最良売気配値1")</f>
        <v>1</v>
      </c>
      <c r="AW100">
        <f>_xll.RssFOPMarket(141470018,"最良売気配数量1")</f>
        <v>31</v>
      </c>
      <c r="AX100">
        <f>_xll.RssFOPMarket(141470018,"最良買気配値1")</f>
        <v>0</v>
      </c>
      <c r="AY100">
        <f>_xll.RssFOPMarket(141470018,"最良買気配数量1")</f>
        <v>0</v>
      </c>
      <c r="AZ100">
        <f>_xll.RssFOPMarket(141470018,"現在値")</f>
        <v>0</v>
      </c>
      <c r="BA100">
        <f>_xll.RssFOPMarket(141470018,"出来高")</f>
        <v>0</v>
      </c>
      <c r="BB100">
        <f>_xll.RssFOPMarket(141470018,"売買代金")</f>
        <v>0</v>
      </c>
      <c r="BC100">
        <f>_xll.RssFOPMarket(141470018,"始値")</f>
        <v>0</v>
      </c>
      <c r="BD100">
        <f>_xll.RssFOPMarket(141470018,"高値")</f>
        <v>0</v>
      </c>
      <c r="BE100">
        <f>_xll.RssFOPMarket(141470018,"安値")</f>
        <v>0</v>
      </c>
      <c r="BF100">
        <f>_xll.RssFOPMarket(141470018,"前日終値")</f>
        <v>1</v>
      </c>
      <c r="BK100" s="3"/>
    </row>
    <row r="101" spans="40:78">
      <c r="AQ101" s="3"/>
      <c r="BK101" s="3"/>
    </row>
    <row r="102" spans="40:78">
      <c r="AQ102" s="3"/>
      <c r="BH102">
        <v>181246018</v>
      </c>
      <c r="BI102" t="str">
        <f>_xll.RssFOPMarket(181246018,"銘柄名称")</f>
        <v>日経225オプション 26-12 P 46000</v>
      </c>
      <c r="BJ102">
        <v>1</v>
      </c>
      <c r="BK102" s="3" t="s">
        <v>15</v>
      </c>
      <c r="BL102" t="s">
        <v>16</v>
      </c>
      <c r="BM102">
        <v>46000</v>
      </c>
      <c r="BO102" t="str">
        <f>$AU$11</f>
        <v>2026/12/10</v>
      </c>
      <c r="BP102">
        <f>_xll.RssFOPMarket(181246018,"最良売気配値1")</f>
        <v>83</v>
      </c>
      <c r="BQ102">
        <f>_xll.RssFOPMarket(181246018,"最良売気配数量1")</f>
        <v>1</v>
      </c>
      <c r="BR102">
        <f>_xll.RssFOPMarket(181246018,"最良買気配値1")</f>
        <v>75</v>
      </c>
      <c r="BS102">
        <f>_xll.RssFOPMarket(181246018,"最良買気配数量1")</f>
        <v>1</v>
      </c>
      <c r="BT102">
        <f>_xll.RssFOPMarket(181246018,"現在値")</f>
        <v>0</v>
      </c>
      <c r="BU102">
        <f>_xll.RssFOPMarket(181246018,"出来高")</f>
        <v>0</v>
      </c>
      <c r="BV102">
        <f>_xll.RssFOPMarket(181246018,"売買代金")</f>
        <v>0</v>
      </c>
      <c r="BW102">
        <f>_xll.RssFOPMarket(181246018,"始値")</f>
        <v>0</v>
      </c>
      <c r="BX102">
        <f>_xll.RssFOPMarket(181246018,"高値")</f>
        <v>0</v>
      </c>
      <c r="BY102">
        <f>_xll.RssFOPMarket(181246018,"安値")</f>
        <v>0</v>
      </c>
      <c r="BZ102">
        <f>_xll.RssFOPMarket(181246018,"前日終値")</f>
        <v>67</v>
      </c>
    </row>
    <row r="103" spans="40:78">
      <c r="AQ103" s="3"/>
      <c r="BH103">
        <v>181246518</v>
      </c>
      <c r="BI103" t="str">
        <f>_xll.RssFOPMarket(181246518,"銘柄名称")</f>
        <v>日経225オプション 26-12 P 46500</v>
      </c>
      <c r="BJ103">
        <v>1</v>
      </c>
      <c r="BK103" s="3" t="s">
        <v>15</v>
      </c>
      <c r="BL103" t="s">
        <v>16</v>
      </c>
      <c r="BM103">
        <v>46500</v>
      </c>
      <c r="BO103" t="str">
        <f>$AU$11</f>
        <v>2026/12/10</v>
      </c>
      <c r="BP103">
        <f>_xll.RssFOPMarket(181246518,"最良売気配値1")</f>
        <v>88</v>
      </c>
      <c r="BQ103">
        <f>_xll.RssFOPMarket(181246518,"最良売気配数量1")</f>
        <v>1</v>
      </c>
      <c r="BR103">
        <f>_xll.RssFOPMarket(181246518,"最良買気配値1")</f>
        <v>78</v>
      </c>
      <c r="BS103">
        <f>_xll.RssFOPMarket(181246518,"最良買気配数量1")</f>
        <v>1</v>
      </c>
      <c r="BT103">
        <f>_xll.RssFOPMarket(181246518,"現在値")</f>
        <v>0</v>
      </c>
      <c r="BU103">
        <f>_xll.RssFOPMarket(181246518,"出来高")</f>
        <v>0</v>
      </c>
      <c r="BV103">
        <f>_xll.RssFOPMarket(181246518,"売買代金")</f>
        <v>0</v>
      </c>
      <c r="BW103">
        <f>_xll.RssFOPMarket(181246518,"始値")</f>
        <v>0</v>
      </c>
      <c r="BX103">
        <f>_xll.RssFOPMarket(181246518,"高値")</f>
        <v>0</v>
      </c>
      <c r="BY103">
        <f>_xll.RssFOPMarket(181246518,"安値")</f>
        <v>0</v>
      </c>
      <c r="BZ103">
        <f>_xll.RssFOPMarket(181246518,"前日終値")</f>
        <v>71</v>
      </c>
    </row>
    <row r="104" spans="40:78">
      <c r="AQ104" s="3"/>
      <c r="BH104">
        <v>181247018</v>
      </c>
      <c r="BI104" t="str">
        <f>_xll.RssFOPMarket(181247018,"銘柄名称")</f>
        <v>日経225オプション 26-12 P 47000</v>
      </c>
      <c r="BJ104">
        <v>1</v>
      </c>
      <c r="BK104" s="3" t="s">
        <v>15</v>
      </c>
      <c r="BL104" t="s">
        <v>16</v>
      </c>
      <c r="BM104">
        <v>47000</v>
      </c>
      <c r="BO104" t="str">
        <f>$AU$11</f>
        <v>2026/12/10</v>
      </c>
      <c r="BP104">
        <f>_xll.RssFOPMarket(181247018,"最良売気配値1")</f>
        <v>94</v>
      </c>
      <c r="BQ104">
        <f>_xll.RssFOPMarket(181247018,"最良売気配数量1")</f>
        <v>26</v>
      </c>
      <c r="BR104">
        <f>_xll.RssFOPMarket(181247018,"最良買気配値1")</f>
        <v>84</v>
      </c>
      <c r="BS104">
        <f>_xll.RssFOPMarket(181247018,"最良買気配数量1")</f>
        <v>1</v>
      </c>
      <c r="BT104">
        <f>_xll.RssFOPMarket(181247018,"現在値")</f>
        <v>80</v>
      </c>
      <c r="BU104">
        <f>_xll.RssFOPMarket(181247018,"出来高")</f>
        <v>1</v>
      </c>
      <c r="BV104">
        <f>_xll.RssFOPMarket(181247018,"売買代金")</f>
        <v>80</v>
      </c>
      <c r="BW104">
        <f>_xll.RssFOPMarket(181247018,"始値")</f>
        <v>80</v>
      </c>
      <c r="BX104">
        <f>_xll.RssFOPMarket(181247018,"高値")</f>
        <v>80</v>
      </c>
      <c r="BY104">
        <f>_xll.RssFOPMarket(181247018,"安値")</f>
        <v>80</v>
      </c>
      <c r="BZ104">
        <f>_xll.RssFOPMarket(181247018,"前日終値")</f>
        <v>100</v>
      </c>
    </row>
    <row r="105" spans="40:78">
      <c r="AQ105" s="3"/>
      <c r="BH105">
        <v>181247518</v>
      </c>
      <c r="BI105" t="str">
        <f>_xll.RssFOPMarket(181247518,"銘柄名称")</f>
        <v>日経225オプション 26-12 P 47500</v>
      </c>
      <c r="BJ105">
        <v>1</v>
      </c>
      <c r="BK105" s="3" t="s">
        <v>15</v>
      </c>
      <c r="BL105" t="s">
        <v>16</v>
      </c>
      <c r="BM105">
        <v>47500</v>
      </c>
      <c r="BO105" t="str">
        <f>$AU$11</f>
        <v>2026/12/10</v>
      </c>
      <c r="BP105">
        <f>_xll.RssFOPMarket(181247518,"最良売気配値1")</f>
        <v>100</v>
      </c>
      <c r="BQ105">
        <f>_xll.RssFOPMarket(181247518,"最良売気配数量1")</f>
        <v>18</v>
      </c>
      <c r="BR105">
        <f>_xll.RssFOPMarket(181247518,"最良買気配値1")</f>
        <v>89</v>
      </c>
      <c r="BS105">
        <f>_xll.RssFOPMarket(181247518,"最良買気配数量1")</f>
        <v>1</v>
      </c>
      <c r="BT105">
        <f>_xll.RssFOPMarket(181247518,"現在値")</f>
        <v>0</v>
      </c>
      <c r="BU105">
        <f>_xll.RssFOPMarket(181247518,"出来高")</f>
        <v>0</v>
      </c>
      <c r="BV105">
        <f>_xll.RssFOPMarket(181247518,"売買代金")</f>
        <v>0</v>
      </c>
      <c r="BW105">
        <f>_xll.RssFOPMarket(181247518,"始値")</f>
        <v>0</v>
      </c>
      <c r="BX105">
        <f>_xll.RssFOPMarket(181247518,"高値")</f>
        <v>0</v>
      </c>
      <c r="BY105">
        <f>_xll.RssFOPMarket(181247518,"安値")</f>
        <v>0</v>
      </c>
      <c r="BZ105">
        <f>_xll.RssFOPMarket(181247518,"前日終値")</f>
        <v>100</v>
      </c>
    </row>
    <row r="106" spans="40:78">
      <c r="AQ106" s="3"/>
      <c r="BH106">
        <v>181248018</v>
      </c>
      <c r="BI106" t="str">
        <f>_xll.RssFOPMarket(181248018,"銘柄名称")</f>
        <v>日経225オプション 26-12 P 48000</v>
      </c>
      <c r="BJ106">
        <v>1</v>
      </c>
      <c r="BK106" s="3" t="s">
        <v>15</v>
      </c>
      <c r="BL106" t="s">
        <v>16</v>
      </c>
      <c r="BM106">
        <v>48000</v>
      </c>
      <c r="BO106" t="str">
        <f>$AU$11</f>
        <v>2026/12/10</v>
      </c>
      <c r="BP106">
        <f>_xll.RssFOPMarket(181248018,"最良売気配値1")</f>
        <v>106</v>
      </c>
      <c r="BQ106">
        <f>_xll.RssFOPMarket(181248018,"最良売気配数量1")</f>
        <v>26</v>
      </c>
      <c r="BR106">
        <f>_xll.RssFOPMarket(181248018,"最良買気配値1")</f>
        <v>96</v>
      </c>
      <c r="BS106">
        <f>_xll.RssFOPMarket(181248018,"最良買気配数量1")</f>
        <v>1</v>
      </c>
      <c r="BT106">
        <f>_xll.RssFOPMarket(181248018,"現在値")</f>
        <v>96</v>
      </c>
      <c r="BU106">
        <f>_xll.RssFOPMarket(181248018,"出来高")</f>
        <v>1</v>
      </c>
      <c r="BV106">
        <f>_xll.RssFOPMarket(181248018,"売買代金")</f>
        <v>96</v>
      </c>
      <c r="BW106">
        <f>_xll.RssFOPMarket(181248018,"始値")</f>
        <v>96</v>
      </c>
      <c r="BX106">
        <f>_xll.RssFOPMarket(181248018,"高値")</f>
        <v>96</v>
      </c>
      <c r="BY106">
        <f>_xll.RssFOPMarket(181248018,"安値")</f>
        <v>96</v>
      </c>
      <c r="BZ106">
        <f>_xll.RssFOPMarket(181248018,"前日終値")</f>
        <v>104</v>
      </c>
    </row>
    <row r="107" spans="40:78">
      <c r="AQ107" s="3"/>
      <c r="BH107">
        <v>181248518</v>
      </c>
      <c r="BI107" t="str">
        <f>_xll.RssFOPMarket(181248518,"銘柄名称")</f>
        <v>日経225オプション 26-12 P 48500</v>
      </c>
      <c r="BJ107">
        <v>1</v>
      </c>
      <c r="BK107" s="3" t="s">
        <v>15</v>
      </c>
      <c r="BL107" t="s">
        <v>16</v>
      </c>
      <c r="BM107">
        <v>48500</v>
      </c>
      <c r="BO107" t="str">
        <f>$AU$11</f>
        <v>2026/12/10</v>
      </c>
      <c r="BP107">
        <f>_xll.RssFOPMarket(181248518,"最良売気配値1")</f>
        <v>113</v>
      </c>
      <c r="BQ107">
        <f>_xll.RssFOPMarket(181248518,"最良売気配数量1")</f>
        <v>18</v>
      </c>
      <c r="BR107">
        <f>_xll.RssFOPMarket(181248518,"最良買気配値1")</f>
        <v>102</v>
      </c>
      <c r="BS107">
        <f>_xll.RssFOPMarket(181248518,"最良買気配数量1")</f>
        <v>1</v>
      </c>
      <c r="BT107">
        <f>_xll.RssFOPMarket(181248518,"現在値")</f>
        <v>0</v>
      </c>
      <c r="BU107">
        <f>_xll.RssFOPMarket(181248518,"出来高")</f>
        <v>0</v>
      </c>
      <c r="BV107">
        <f>_xll.RssFOPMarket(181248518,"売買代金")</f>
        <v>0</v>
      </c>
      <c r="BW107">
        <f>_xll.RssFOPMarket(181248518,"始値")</f>
        <v>0</v>
      </c>
      <c r="BX107">
        <f>_xll.RssFOPMarket(181248518,"高値")</f>
        <v>0</v>
      </c>
      <c r="BY107">
        <f>_xll.RssFOPMarket(181248518,"安値")</f>
        <v>0</v>
      </c>
      <c r="BZ107">
        <f>_xll.RssFOPMarket(181248518,"前日終値")</f>
        <v>110</v>
      </c>
    </row>
    <row r="108" spans="40:78">
      <c r="AQ108" s="3"/>
      <c r="BH108">
        <v>181249018</v>
      </c>
      <c r="BI108" t="str">
        <f>_xll.RssFOPMarket(181249018,"銘柄名称")</f>
        <v>日経225オプション 26-12 P 49000</v>
      </c>
      <c r="BJ108">
        <v>1</v>
      </c>
      <c r="BK108" s="3" t="s">
        <v>15</v>
      </c>
      <c r="BL108" t="s">
        <v>16</v>
      </c>
      <c r="BM108">
        <v>49000</v>
      </c>
      <c r="BO108" t="str">
        <f>$AU$11</f>
        <v>2026/12/10</v>
      </c>
      <c r="BP108">
        <f>_xll.RssFOPMarket(181249018,"最良売気配値1")</f>
        <v>120</v>
      </c>
      <c r="BQ108">
        <f>_xll.RssFOPMarket(181249018,"最良売気配数量1")</f>
        <v>26</v>
      </c>
      <c r="BR108">
        <f>_xll.RssFOPMarket(181249018,"最良買気配値1")</f>
        <v>109</v>
      </c>
      <c r="BS108">
        <f>_xll.RssFOPMarket(181249018,"最良買気配数量1")</f>
        <v>1</v>
      </c>
      <c r="BT108">
        <f>_xll.RssFOPMarket(181249018,"現在値")</f>
        <v>0</v>
      </c>
      <c r="BU108">
        <f>_xll.RssFOPMarket(181249018,"出来高")</f>
        <v>0</v>
      </c>
      <c r="BV108">
        <f>_xll.RssFOPMarket(181249018,"売買代金")</f>
        <v>0</v>
      </c>
      <c r="BW108">
        <f>_xll.RssFOPMarket(181249018,"始値")</f>
        <v>0</v>
      </c>
      <c r="BX108">
        <f>_xll.RssFOPMarket(181249018,"高値")</f>
        <v>0</v>
      </c>
      <c r="BY108">
        <f>_xll.RssFOPMarket(181249018,"安値")</f>
        <v>0</v>
      </c>
      <c r="BZ108">
        <f>_xll.RssFOPMarket(181249018,"前日終値")</f>
        <v>100</v>
      </c>
    </row>
    <row r="109" spans="40:78">
      <c r="AQ109" s="3"/>
      <c r="BH109">
        <v>181249518</v>
      </c>
      <c r="BI109" t="str">
        <f>_xll.RssFOPMarket(181249518,"銘柄名称")</f>
        <v>日経225オプション 26-12 P 49500</v>
      </c>
      <c r="BJ109">
        <v>1</v>
      </c>
      <c r="BK109" s="3" t="s">
        <v>15</v>
      </c>
      <c r="BL109" t="s">
        <v>16</v>
      </c>
      <c r="BM109">
        <v>49500</v>
      </c>
      <c r="BO109" t="str">
        <f>$AU$11</f>
        <v>2026/12/10</v>
      </c>
      <c r="BP109">
        <f>_xll.RssFOPMarket(181249518,"最良売気配値1")</f>
        <v>128</v>
      </c>
      <c r="BQ109">
        <f>_xll.RssFOPMarket(181249518,"最良売気配数量1")</f>
        <v>18</v>
      </c>
      <c r="BR109">
        <f>_xll.RssFOPMarket(181249518,"最良買気配値1")</f>
        <v>118</v>
      </c>
      <c r="BS109">
        <f>_xll.RssFOPMarket(181249518,"最良買気配数量1")</f>
        <v>1</v>
      </c>
      <c r="BT109">
        <f>_xll.RssFOPMarket(181249518,"現在値")</f>
        <v>0</v>
      </c>
      <c r="BU109">
        <f>_xll.RssFOPMarket(181249518,"出来高")</f>
        <v>0</v>
      </c>
      <c r="BV109">
        <f>_xll.RssFOPMarket(181249518,"売買代金")</f>
        <v>0</v>
      </c>
      <c r="BW109">
        <f>_xll.RssFOPMarket(181249518,"始値")</f>
        <v>0</v>
      </c>
      <c r="BX109">
        <f>_xll.RssFOPMarket(181249518,"高値")</f>
        <v>0</v>
      </c>
      <c r="BY109">
        <f>_xll.RssFOPMarket(181249518,"安値")</f>
        <v>0</v>
      </c>
      <c r="BZ109">
        <f>_xll.RssFOPMarket(181249518,"前日終値")</f>
        <v>103</v>
      </c>
    </row>
    <row r="110" spans="40:78">
      <c r="AQ110" s="3"/>
      <c r="BH110">
        <v>181240018</v>
      </c>
      <c r="BI110" t="str">
        <f>_xll.RssFOPMarket(181240018,"銘柄名称")</f>
        <v>日経225オプション 26-12 P 50000</v>
      </c>
      <c r="BJ110">
        <v>1</v>
      </c>
      <c r="BK110" s="3" t="s">
        <v>15</v>
      </c>
      <c r="BL110" t="s">
        <v>16</v>
      </c>
      <c r="BM110">
        <v>50000</v>
      </c>
      <c r="BO110" t="str">
        <f>$AU$11</f>
        <v>2026/12/10</v>
      </c>
      <c r="BP110">
        <f>_xll.RssFOPMarket(181240018,"最良売気配値1")</f>
        <v>136</v>
      </c>
      <c r="BQ110">
        <f>_xll.RssFOPMarket(181240018,"最良売気配数量1")</f>
        <v>23</v>
      </c>
      <c r="BR110">
        <f>_xll.RssFOPMarket(181240018,"最良買気配値1")</f>
        <v>125</v>
      </c>
      <c r="BS110">
        <f>_xll.RssFOPMarket(181240018,"最良買気配数量1")</f>
        <v>2</v>
      </c>
      <c r="BT110">
        <f>_xll.RssFOPMarket(181240018,"現在値")</f>
        <v>132</v>
      </c>
      <c r="BU110">
        <f>_xll.RssFOPMarket(181240018,"出来高")</f>
        <v>2</v>
      </c>
      <c r="BV110">
        <f>_xll.RssFOPMarket(181240018,"売買代金")</f>
        <v>260</v>
      </c>
      <c r="BW110">
        <f>_xll.RssFOPMarket(181240018,"始値")</f>
        <v>128</v>
      </c>
      <c r="BX110">
        <f>_xll.RssFOPMarket(181240018,"高値")</f>
        <v>132</v>
      </c>
      <c r="BY110">
        <f>_xll.RssFOPMarket(181240018,"安値")</f>
        <v>128</v>
      </c>
      <c r="BZ110">
        <f>_xll.RssFOPMarket(181240018,"前日終値")</f>
        <v>130</v>
      </c>
    </row>
    <row r="111" spans="40:78">
      <c r="AQ111" s="3"/>
      <c r="BH111">
        <v>181240518</v>
      </c>
      <c r="BI111" t="str">
        <f>_xll.RssFOPMarket(181240518,"銘柄名称")</f>
        <v>日経225オプション 26-12 P 50500</v>
      </c>
      <c r="BJ111">
        <v>1</v>
      </c>
      <c r="BK111" s="3" t="s">
        <v>15</v>
      </c>
      <c r="BL111" t="s">
        <v>16</v>
      </c>
      <c r="BM111">
        <v>50500</v>
      </c>
      <c r="BO111" t="str">
        <f>$AU$11</f>
        <v>2026/12/10</v>
      </c>
      <c r="BP111">
        <f>_xll.RssFOPMarket(181240518,"最良売気配値1")</f>
        <v>144</v>
      </c>
      <c r="BQ111">
        <f>_xll.RssFOPMarket(181240518,"最良売気配数量1")</f>
        <v>14</v>
      </c>
      <c r="BR111">
        <f>_xll.RssFOPMarket(181240518,"最良買気配値1")</f>
        <v>134</v>
      </c>
      <c r="BS111">
        <f>_xll.RssFOPMarket(181240518,"最良買気配数量1")</f>
        <v>1</v>
      </c>
      <c r="BT111">
        <f>_xll.RssFOPMarket(181240518,"現在値")</f>
        <v>0</v>
      </c>
      <c r="BU111">
        <f>_xll.RssFOPMarket(181240518,"出来高")</f>
        <v>0</v>
      </c>
      <c r="BV111">
        <f>_xll.RssFOPMarket(181240518,"売買代金")</f>
        <v>0</v>
      </c>
      <c r="BW111">
        <f>_xll.RssFOPMarket(181240518,"始値")</f>
        <v>0</v>
      </c>
      <c r="BX111">
        <f>_xll.RssFOPMarket(181240518,"高値")</f>
        <v>0</v>
      </c>
      <c r="BY111">
        <f>_xll.RssFOPMarket(181240518,"安値")</f>
        <v>0</v>
      </c>
      <c r="BZ111">
        <f>_xll.RssFOPMarket(181240518,"前日終値")</f>
        <v>131</v>
      </c>
    </row>
    <row r="112" spans="40:78">
      <c r="AQ112" s="3"/>
      <c r="BH112">
        <v>181241018</v>
      </c>
      <c r="BI112" t="str">
        <f>_xll.RssFOPMarket(181241018,"銘柄名称")</f>
        <v>日経225オプション 26-12 P 51000</v>
      </c>
      <c r="BJ112">
        <v>1</v>
      </c>
      <c r="BK112" s="3" t="s">
        <v>15</v>
      </c>
      <c r="BL112" t="s">
        <v>16</v>
      </c>
      <c r="BM112">
        <v>51000</v>
      </c>
      <c r="BO112" t="str">
        <f>$AU$11</f>
        <v>2026/12/10</v>
      </c>
      <c r="BP112">
        <f>_xll.RssFOPMarket(181241018,"最良売気配値1")</f>
        <v>154</v>
      </c>
      <c r="BQ112">
        <f>_xll.RssFOPMarket(181241018,"最良売気配数量1")</f>
        <v>21</v>
      </c>
      <c r="BR112">
        <f>_xll.RssFOPMarket(181241018,"最良買気配値1")</f>
        <v>144</v>
      </c>
      <c r="BS112">
        <f>_xll.RssFOPMarket(181241018,"最良買気配数量1")</f>
        <v>1</v>
      </c>
      <c r="BT112">
        <f>_xll.RssFOPMarket(181241018,"現在値")</f>
        <v>0</v>
      </c>
      <c r="BU112">
        <f>_xll.RssFOPMarket(181241018,"出来高")</f>
        <v>0</v>
      </c>
      <c r="BV112">
        <f>_xll.RssFOPMarket(181241018,"売買代金")</f>
        <v>0</v>
      </c>
      <c r="BW112">
        <f>_xll.RssFOPMarket(181241018,"始値")</f>
        <v>0</v>
      </c>
      <c r="BX112">
        <f>_xll.RssFOPMarket(181241018,"高値")</f>
        <v>0</v>
      </c>
      <c r="BY112">
        <f>_xll.RssFOPMarket(181241018,"安値")</f>
        <v>0</v>
      </c>
      <c r="BZ112">
        <f>_xll.RssFOPMarket(181241018,"前日終値")</f>
        <v>161</v>
      </c>
    </row>
    <row r="113" spans="43:78">
      <c r="AQ113" s="3"/>
      <c r="BH113">
        <v>181241518</v>
      </c>
      <c r="BI113" t="str">
        <f>_xll.RssFOPMarket(181241518,"銘柄名称")</f>
        <v>日経225オプション 26-12 P 51500</v>
      </c>
      <c r="BJ113">
        <v>1</v>
      </c>
      <c r="BK113" s="3" t="s">
        <v>15</v>
      </c>
      <c r="BL113" t="s">
        <v>16</v>
      </c>
      <c r="BM113">
        <v>51500</v>
      </c>
      <c r="BO113" t="str">
        <f>$AU$11</f>
        <v>2026/12/10</v>
      </c>
      <c r="BP113">
        <f>_xll.RssFOPMarket(181241518,"最良売気配値1")</f>
        <v>164</v>
      </c>
      <c r="BQ113">
        <f>_xll.RssFOPMarket(181241518,"最良売気配数量1")</f>
        <v>15</v>
      </c>
      <c r="BR113">
        <f>_xll.RssFOPMarket(181241518,"最良買気配値1")</f>
        <v>153</v>
      </c>
      <c r="BS113">
        <f>_xll.RssFOPMarket(181241518,"最良買気配数量1")</f>
        <v>1</v>
      </c>
      <c r="BT113">
        <f>_xll.RssFOPMarket(181241518,"現在値")</f>
        <v>0</v>
      </c>
      <c r="BU113">
        <f>_xll.RssFOPMarket(181241518,"出来高")</f>
        <v>0</v>
      </c>
      <c r="BV113">
        <f>_xll.RssFOPMarket(181241518,"売買代金")</f>
        <v>0</v>
      </c>
      <c r="BW113">
        <f>_xll.RssFOPMarket(181241518,"始値")</f>
        <v>0</v>
      </c>
      <c r="BX113">
        <f>_xll.RssFOPMarket(181241518,"高値")</f>
        <v>0</v>
      </c>
      <c r="BY113">
        <f>_xll.RssFOPMarket(181241518,"安値")</f>
        <v>0</v>
      </c>
      <c r="BZ113">
        <f>_xll.RssFOPMarket(181241518,"前日終値")</f>
        <v>151</v>
      </c>
    </row>
    <row r="114" spans="43:78">
      <c r="AQ114" s="3"/>
      <c r="BH114">
        <v>181242018</v>
      </c>
      <c r="BI114" t="str">
        <f>_xll.RssFOPMarket(181242018,"銘柄名称")</f>
        <v>日経225オプション 26-12 P 52000</v>
      </c>
      <c r="BJ114">
        <v>1</v>
      </c>
      <c r="BK114" s="3" t="s">
        <v>15</v>
      </c>
      <c r="BL114" t="s">
        <v>16</v>
      </c>
      <c r="BM114">
        <v>52000</v>
      </c>
      <c r="BO114" t="str">
        <f>$AU$11</f>
        <v>2026/12/10</v>
      </c>
      <c r="BP114">
        <f>_xll.RssFOPMarket(181242018,"最良売気配値1")</f>
        <v>175</v>
      </c>
      <c r="BQ114">
        <f>_xll.RssFOPMarket(181242018,"最良売気配数量1")</f>
        <v>21</v>
      </c>
      <c r="BR114">
        <f>_xll.RssFOPMarket(181242018,"最良買気配値1")</f>
        <v>165</v>
      </c>
      <c r="BS114">
        <f>_xll.RssFOPMarket(181242018,"最良買気配数量1")</f>
        <v>1</v>
      </c>
      <c r="BT114">
        <f>_xll.RssFOPMarket(181242018,"現在値")</f>
        <v>0</v>
      </c>
      <c r="BU114">
        <f>_xll.RssFOPMarket(181242018,"出来高")</f>
        <v>0</v>
      </c>
      <c r="BV114">
        <f>_xll.RssFOPMarket(181242018,"売買代金")</f>
        <v>0</v>
      </c>
      <c r="BW114">
        <f>_xll.RssFOPMarket(181242018,"始値")</f>
        <v>0</v>
      </c>
      <c r="BX114">
        <f>_xll.RssFOPMarket(181242018,"高値")</f>
        <v>0</v>
      </c>
      <c r="BY114">
        <f>_xll.RssFOPMarket(181242018,"安値")</f>
        <v>0</v>
      </c>
      <c r="BZ114">
        <f>_xll.RssFOPMarket(181242018,"前日終値")</f>
        <v>168</v>
      </c>
    </row>
    <row r="115" spans="43:78">
      <c r="AQ115" s="3"/>
      <c r="BH115">
        <v>181362518</v>
      </c>
      <c r="BI115" t="str">
        <f>_xll.RssFOPMarket(181362518,"銘柄名称")</f>
        <v>日経225オプション 26-12 P 52500</v>
      </c>
      <c r="BJ115">
        <v>1</v>
      </c>
      <c r="BK115" s="3" t="s">
        <v>15</v>
      </c>
      <c r="BL115" t="s">
        <v>16</v>
      </c>
      <c r="BM115">
        <v>52500</v>
      </c>
      <c r="BO115" t="str">
        <f>$AU$11</f>
        <v>2026/12/10</v>
      </c>
      <c r="BP115">
        <f>_xll.RssFOPMarket(181362518,"最良売気配値1")</f>
        <v>187</v>
      </c>
      <c r="BQ115">
        <f>_xll.RssFOPMarket(181362518,"最良売気配数量1")</f>
        <v>12</v>
      </c>
      <c r="BR115">
        <f>_xll.RssFOPMarket(181362518,"最良買気配値1")</f>
        <v>176</v>
      </c>
      <c r="BS115">
        <f>_xll.RssFOPMarket(181362518,"最良買気配数量1")</f>
        <v>1</v>
      </c>
      <c r="BT115">
        <f>_xll.RssFOPMarket(181362518,"現在値")</f>
        <v>0</v>
      </c>
      <c r="BU115">
        <f>_xll.RssFOPMarket(181362518,"出来高")</f>
        <v>0</v>
      </c>
      <c r="BV115">
        <f>_xll.RssFOPMarket(181362518,"売買代金")</f>
        <v>0</v>
      </c>
      <c r="BW115">
        <f>_xll.RssFOPMarket(181362518,"始値")</f>
        <v>0</v>
      </c>
      <c r="BX115">
        <f>_xll.RssFOPMarket(181362518,"高値")</f>
        <v>0</v>
      </c>
      <c r="BY115">
        <f>_xll.RssFOPMarket(181362518,"安値")</f>
        <v>0</v>
      </c>
      <c r="BZ115">
        <f>_xll.RssFOPMarket(181362518,"前日終値")</f>
        <v>159</v>
      </c>
    </row>
    <row r="116" spans="43:78">
      <c r="AQ116" s="3"/>
      <c r="BH116">
        <v>131363018</v>
      </c>
      <c r="BI116" t="str">
        <f>_xll.RssFOPMarket(131363018,"銘柄名称")</f>
        <v>日経225オプション 26-12 P 53000</v>
      </c>
      <c r="BJ116">
        <v>1</v>
      </c>
      <c r="BK116" s="3" t="s">
        <v>15</v>
      </c>
      <c r="BL116" t="s">
        <v>16</v>
      </c>
      <c r="BM116">
        <v>53000</v>
      </c>
      <c r="BO116" t="str">
        <f>$AU$11</f>
        <v>2026/12/10</v>
      </c>
      <c r="BP116">
        <f>_xll.RssFOPMarket(131363018,"最良売気配値1")</f>
        <v>200</v>
      </c>
      <c r="BQ116">
        <f>_xll.RssFOPMarket(131363018,"最良売気配数量1")</f>
        <v>18</v>
      </c>
      <c r="BR116">
        <f>_xll.RssFOPMarket(131363018,"最良買気配値1")</f>
        <v>189</v>
      </c>
      <c r="BS116">
        <f>_xll.RssFOPMarket(131363018,"最良買気配数量1")</f>
        <v>1</v>
      </c>
      <c r="BT116">
        <f>_xll.RssFOPMarket(131363018,"現在値")</f>
        <v>0</v>
      </c>
      <c r="BU116">
        <f>_xll.RssFOPMarket(131363018,"出来高")</f>
        <v>0</v>
      </c>
      <c r="BV116">
        <f>_xll.RssFOPMarket(131363018,"売買代金")</f>
        <v>0</v>
      </c>
      <c r="BW116">
        <f>_xll.RssFOPMarket(131363018,"始値")</f>
        <v>0</v>
      </c>
      <c r="BX116">
        <f>_xll.RssFOPMarket(131363018,"高値")</f>
        <v>0</v>
      </c>
      <c r="BY116">
        <f>_xll.RssFOPMarket(131363018,"安値")</f>
        <v>0</v>
      </c>
      <c r="BZ116">
        <f>_xll.RssFOPMarket(131363018,"前日終値")</f>
        <v>179</v>
      </c>
    </row>
    <row r="117" spans="43:78">
      <c r="AQ117" s="3"/>
      <c r="BH117">
        <v>131363518</v>
      </c>
      <c r="BI117" t="str">
        <f>_xll.RssFOPMarket(131363518,"銘柄名称")</f>
        <v>日経225オプション 26-12 P 53500</v>
      </c>
      <c r="BJ117">
        <v>1</v>
      </c>
      <c r="BK117" s="3" t="s">
        <v>15</v>
      </c>
      <c r="BL117" t="s">
        <v>16</v>
      </c>
      <c r="BM117">
        <v>53500</v>
      </c>
      <c r="BO117" t="str">
        <f>$AU$11</f>
        <v>2026/12/10</v>
      </c>
      <c r="BP117">
        <f>_xll.RssFOPMarket(131363518,"最良売気配値1")</f>
        <v>215</v>
      </c>
      <c r="BQ117">
        <f>_xll.RssFOPMarket(131363518,"最良売気配数量1")</f>
        <v>14</v>
      </c>
      <c r="BR117">
        <f>_xll.RssFOPMarket(131363518,"最良買気配値1")</f>
        <v>202</v>
      </c>
      <c r="BS117">
        <f>_xll.RssFOPMarket(131363518,"最良買気配数量1")</f>
        <v>1</v>
      </c>
      <c r="BT117">
        <f>_xll.RssFOPMarket(131363518,"現在値")</f>
        <v>0</v>
      </c>
      <c r="BU117">
        <f>_xll.RssFOPMarket(131363518,"出来高")</f>
        <v>0</v>
      </c>
      <c r="BV117">
        <f>_xll.RssFOPMarket(131363518,"売買代金")</f>
        <v>0</v>
      </c>
      <c r="BW117">
        <f>_xll.RssFOPMarket(131363518,"始値")</f>
        <v>0</v>
      </c>
      <c r="BX117">
        <f>_xll.RssFOPMarket(131363518,"高値")</f>
        <v>0</v>
      </c>
      <c r="BY117">
        <f>_xll.RssFOPMarket(131363518,"安値")</f>
        <v>0</v>
      </c>
      <c r="BZ117">
        <f>_xll.RssFOPMarket(131363518,"前日終値")</f>
        <v>205</v>
      </c>
    </row>
    <row r="118" spans="43:78">
      <c r="AQ118" s="3"/>
      <c r="BH118">
        <v>131364018</v>
      </c>
      <c r="BI118" t="str">
        <f>_xll.RssFOPMarket(131364018,"銘柄名称")</f>
        <v>日経225オプション 26-12 P 54000</v>
      </c>
      <c r="BJ118">
        <v>1</v>
      </c>
      <c r="BK118" s="3" t="s">
        <v>15</v>
      </c>
      <c r="BL118" t="s">
        <v>16</v>
      </c>
      <c r="BM118">
        <v>54000</v>
      </c>
      <c r="BO118" t="str">
        <f>$AU$11</f>
        <v>2026/12/10</v>
      </c>
      <c r="BP118">
        <f>_xll.RssFOPMarket(131364018,"最良売気配値1")</f>
        <v>229</v>
      </c>
      <c r="BQ118">
        <f>_xll.RssFOPMarket(131364018,"最良売気配数量1")</f>
        <v>17</v>
      </c>
      <c r="BR118">
        <f>_xll.RssFOPMarket(131364018,"最良買気配値1")</f>
        <v>220</v>
      </c>
      <c r="BS118">
        <f>_xll.RssFOPMarket(131364018,"最良買気配数量1")</f>
        <v>2</v>
      </c>
      <c r="BT118">
        <f>_xll.RssFOPMarket(131364018,"現在値")</f>
        <v>0</v>
      </c>
      <c r="BU118">
        <f>_xll.RssFOPMarket(131364018,"出来高")</f>
        <v>0</v>
      </c>
      <c r="BV118">
        <f>_xll.RssFOPMarket(131364018,"売買代金")</f>
        <v>0</v>
      </c>
      <c r="BW118">
        <f>_xll.RssFOPMarket(131364018,"始値")</f>
        <v>0</v>
      </c>
      <c r="BX118">
        <f>_xll.RssFOPMarket(131364018,"高値")</f>
        <v>0</v>
      </c>
      <c r="BY118">
        <f>_xll.RssFOPMarket(131364018,"安値")</f>
        <v>0</v>
      </c>
      <c r="BZ118">
        <f>_xll.RssFOPMarket(131364018,"前日終値")</f>
        <v>207</v>
      </c>
    </row>
    <row r="119" spans="43:78">
      <c r="AQ119" s="3"/>
      <c r="BH119">
        <v>131364518</v>
      </c>
      <c r="BI119" t="str">
        <f>_xll.RssFOPMarket(131364518,"銘柄名称")</f>
        <v>日経225オプション 26-12 P 54500</v>
      </c>
      <c r="BJ119">
        <v>1</v>
      </c>
      <c r="BK119" s="3" t="s">
        <v>15</v>
      </c>
      <c r="BL119" t="s">
        <v>16</v>
      </c>
      <c r="BM119">
        <v>54500</v>
      </c>
      <c r="BO119" t="str">
        <f>$AU$11</f>
        <v>2026/12/10</v>
      </c>
      <c r="BP119">
        <f>_xll.RssFOPMarket(131364518,"最良売気配値1")</f>
        <v>245</v>
      </c>
      <c r="BQ119">
        <f>_xll.RssFOPMarket(131364518,"最良売気配数量1")</f>
        <v>12</v>
      </c>
      <c r="BR119">
        <f>_xll.RssFOPMarket(131364518,"最良買気配値1")</f>
        <v>237</v>
      </c>
      <c r="BS119">
        <f>_xll.RssFOPMarket(131364518,"最良買気配数量1")</f>
        <v>2</v>
      </c>
      <c r="BT119">
        <f>_xll.RssFOPMarket(131364518,"現在値")</f>
        <v>0</v>
      </c>
      <c r="BU119">
        <f>_xll.RssFOPMarket(131364518,"出来高")</f>
        <v>0</v>
      </c>
      <c r="BV119">
        <f>_xll.RssFOPMarket(131364518,"売買代金")</f>
        <v>0</v>
      </c>
      <c r="BW119">
        <f>_xll.RssFOPMarket(131364518,"始値")</f>
        <v>0</v>
      </c>
      <c r="BX119">
        <f>_xll.RssFOPMarket(131364518,"高値")</f>
        <v>0</v>
      </c>
      <c r="BY119">
        <f>_xll.RssFOPMarket(131364518,"安値")</f>
        <v>0</v>
      </c>
      <c r="BZ119">
        <f>_xll.RssFOPMarket(131364518,"前日終値")</f>
        <v>209</v>
      </c>
    </row>
    <row r="120" spans="43:78">
      <c r="AQ120" s="3"/>
      <c r="BH120">
        <v>131365018</v>
      </c>
      <c r="BI120" t="str">
        <f>_xll.RssFOPMarket(131365018,"銘柄名称")</f>
        <v>日経225オプション 26-12 P 55000</v>
      </c>
      <c r="BJ120">
        <v>1</v>
      </c>
      <c r="BK120" s="3" t="s">
        <v>15</v>
      </c>
      <c r="BL120" t="s">
        <v>16</v>
      </c>
      <c r="BM120">
        <v>55000</v>
      </c>
      <c r="BO120" t="str">
        <f>$AU$11</f>
        <v>2026/12/10</v>
      </c>
      <c r="BP120">
        <f>_xll.RssFOPMarket(131365018,"最良売気配値1")</f>
        <v>263</v>
      </c>
      <c r="BQ120">
        <f>_xll.RssFOPMarket(131365018,"最良売気配数量1")</f>
        <v>17</v>
      </c>
      <c r="BR120">
        <f>_xll.RssFOPMarket(131365018,"最良買気配値1")</f>
        <v>254</v>
      </c>
      <c r="BS120">
        <f>_xll.RssFOPMarket(131365018,"最良買気配数量1")</f>
        <v>2</v>
      </c>
      <c r="BT120">
        <f>_xll.RssFOPMarket(131365018,"現在値")</f>
        <v>0</v>
      </c>
      <c r="BU120">
        <f>_xll.RssFOPMarket(131365018,"出来高")</f>
        <v>0</v>
      </c>
      <c r="BV120">
        <f>_xll.RssFOPMarket(131365018,"売買代金")</f>
        <v>0</v>
      </c>
      <c r="BW120">
        <f>_xll.RssFOPMarket(131365018,"始値")</f>
        <v>0</v>
      </c>
      <c r="BX120">
        <f>_xll.RssFOPMarket(131365018,"高値")</f>
        <v>0</v>
      </c>
      <c r="BY120">
        <f>_xll.RssFOPMarket(131365018,"安値")</f>
        <v>0</v>
      </c>
      <c r="BZ120">
        <f>_xll.RssFOPMarket(131365018,"前日終値")</f>
        <v>241</v>
      </c>
    </row>
    <row r="121" spans="43:78">
      <c r="AQ121" s="3"/>
      <c r="BH121">
        <v>131365518</v>
      </c>
      <c r="BI121" t="str">
        <f>_xll.RssFOPMarket(131365518,"銘柄名称")</f>
        <v>日経225オプション 26-12 P 55500</v>
      </c>
      <c r="BJ121">
        <v>1</v>
      </c>
      <c r="BK121" s="3" t="s">
        <v>15</v>
      </c>
      <c r="BL121" t="s">
        <v>16</v>
      </c>
      <c r="BM121">
        <v>55500</v>
      </c>
      <c r="BO121" t="str">
        <f>$AU$11</f>
        <v>2026/12/10</v>
      </c>
      <c r="BP121">
        <f>_xll.RssFOPMarket(131365518,"最良売気配値1")</f>
        <v>282</v>
      </c>
      <c r="BQ121">
        <f>_xll.RssFOPMarket(131365518,"最良売気配数量1")</f>
        <v>10</v>
      </c>
      <c r="BR121">
        <f>_xll.RssFOPMarket(131365518,"最良買気配値1")</f>
        <v>274</v>
      </c>
      <c r="BS121">
        <f>_xll.RssFOPMarket(131365518,"最良買気配数量1")</f>
        <v>2</v>
      </c>
      <c r="BT121">
        <f>_xll.RssFOPMarket(131365518,"現在値")</f>
        <v>0</v>
      </c>
      <c r="BU121">
        <f>_xll.RssFOPMarket(131365518,"出来高")</f>
        <v>0</v>
      </c>
      <c r="BV121">
        <f>_xll.RssFOPMarket(131365518,"売買代金")</f>
        <v>0</v>
      </c>
      <c r="BW121">
        <f>_xll.RssFOPMarket(131365518,"始値")</f>
        <v>0</v>
      </c>
      <c r="BX121">
        <f>_xll.RssFOPMarket(131365518,"高値")</f>
        <v>0</v>
      </c>
      <c r="BY121">
        <f>_xll.RssFOPMarket(131365518,"安値")</f>
        <v>0</v>
      </c>
      <c r="BZ121">
        <f>_xll.RssFOPMarket(131365518,"前日終値")</f>
        <v>325</v>
      </c>
    </row>
    <row r="122" spans="43:78">
      <c r="AQ122" s="3"/>
      <c r="BH122">
        <v>131366018</v>
      </c>
      <c r="BI122" t="str">
        <f>_xll.RssFOPMarket(131366018,"銘柄名称")</f>
        <v>日経225オプション 26-12 P 56000</v>
      </c>
      <c r="BJ122">
        <v>1</v>
      </c>
      <c r="BK122" s="3" t="s">
        <v>15</v>
      </c>
      <c r="BL122" t="s">
        <v>16</v>
      </c>
      <c r="BM122">
        <v>56000</v>
      </c>
      <c r="BO122" t="str">
        <f>$AU$11</f>
        <v>2026/12/10</v>
      </c>
      <c r="BP122">
        <f>_xll.RssFOPMarket(131366018,"最良売気配値1")</f>
        <v>305</v>
      </c>
      <c r="BQ122">
        <f>_xll.RssFOPMarket(131366018,"最良売気配数量1")</f>
        <v>14</v>
      </c>
      <c r="BR122">
        <f>_xll.RssFOPMarket(131366018,"最良買気配値1")</f>
        <v>294</v>
      </c>
      <c r="BS122">
        <f>_xll.RssFOPMarket(131366018,"最良買気配数量1")</f>
        <v>4</v>
      </c>
      <c r="BT122">
        <f>_xll.RssFOPMarket(131366018,"現在値")</f>
        <v>0</v>
      </c>
      <c r="BU122">
        <f>_xll.RssFOPMarket(131366018,"出来高")</f>
        <v>0</v>
      </c>
      <c r="BV122">
        <f>_xll.RssFOPMarket(131366018,"売買代金")</f>
        <v>0</v>
      </c>
      <c r="BW122">
        <f>_xll.RssFOPMarket(131366018,"始値")</f>
        <v>0</v>
      </c>
      <c r="BX122">
        <f>_xll.RssFOPMarket(131366018,"高値")</f>
        <v>0</v>
      </c>
      <c r="BY122">
        <f>_xll.RssFOPMarket(131366018,"安値")</f>
        <v>0</v>
      </c>
      <c r="BZ122">
        <f>_xll.RssFOPMarket(131366018,"前日終値")</f>
        <v>287</v>
      </c>
    </row>
    <row r="123" spans="43:78">
      <c r="AQ123" s="3"/>
      <c r="BH123">
        <v>131366518</v>
      </c>
      <c r="BI123" t="str">
        <f>_xll.RssFOPMarket(131366518,"銘柄名称")</f>
        <v>日経225オプション 26-12 P 56500</v>
      </c>
      <c r="BJ123">
        <v>1</v>
      </c>
      <c r="BK123" s="3" t="s">
        <v>15</v>
      </c>
      <c r="BL123" t="s">
        <v>16</v>
      </c>
      <c r="BM123">
        <v>56500</v>
      </c>
      <c r="BO123" t="str">
        <f>$AU$11</f>
        <v>2026/12/10</v>
      </c>
      <c r="BP123">
        <f>_xll.RssFOPMarket(131366518,"最良売気配値1")</f>
        <v>330</v>
      </c>
      <c r="BQ123">
        <f>_xll.RssFOPMarket(131366518,"最良売気配数量1")</f>
        <v>8</v>
      </c>
      <c r="BR123">
        <f>_xll.RssFOPMarket(131366518,"最良買気配値1")</f>
        <v>315</v>
      </c>
      <c r="BS123">
        <f>_xll.RssFOPMarket(131366518,"最良買気配数量1")</f>
        <v>8</v>
      </c>
      <c r="BT123">
        <f>_xll.RssFOPMarket(131366518,"現在値")</f>
        <v>0</v>
      </c>
      <c r="BU123">
        <f>_xll.RssFOPMarket(131366518,"出来高")</f>
        <v>0</v>
      </c>
      <c r="BV123">
        <f>_xll.RssFOPMarket(131366518,"売買代金")</f>
        <v>0</v>
      </c>
      <c r="BW123">
        <f>_xll.RssFOPMarket(131366518,"始値")</f>
        <v>0</v>
      </c>
      <c r="BX123">
        <f>_xll.RssFOPMarket(131366518,"高値")</f>
        <v>0</v>
      </c>
      <c r="BY123">
        <f>_xll.RssFOPMarket(131366518,"安値")</f>
        <v>0</v>
      </c>
      <c r="BZ123">
        <f>_xll.RssFOPMarket(131366518,"前日終値")</f>
        <v>340</v>
      </c>
    </row>
    <row r="124" spans="43:78">
      <c r="AQ124" s="3"/>
      <c r="BH124">
        <v>131367018</v>
      </c>
      <c r="BI124" t="str">
        <f>_xll.RssFOPMarket(131367018,"銘柄名称")</f>
        <v>日経225オプション 26-12 P 57000</v>
      </c>
      <c r="BJ124">
        <v>1</v>
      </c>
      <c r="BK124" s="3" t="s">
        <v>15</v>
      </c>
      <c r="BL124" t="s">
        <v>16</v>
      </c>
      <c r="BM124">
        <v>57000</v>
      </c>
      <c r="BO124" t="str">
        <f>$AU$11</f>
        <v>2026/12/10</v>
      </c>
      <c r="BP124">
        <f>_xll.RssFOPMarket(131367018,"最良売気配値1")</f>
        <v>355</v>
      </c>
      <c r="BQ124">
        <f>_xll.RssFOPMarket(131367018,"最良売気配数量1")</f>
        <v>11</v>
      </c>
      <c r="BR124">
        <f>_xll.RssFOPMarket(131367018,"最良買気配値1")</f>
        <v>345</v>
      </c>
      <c r="BS124">
        <f>_xll.RssFOPMarket(131367018,"最良買気配数量1")</f>
        <v>2</v>
      </c>
      <c r="BT124">
        <f>_xll.RssFOPMarket(131367018,"現在値")</f>
        <v>0</v>
      </c>
      <c r="BU124">
        <f>_xll.RssFOPMarket(131367018,"出来高")</f>
        <v>0</v>
      </c>
      <c r="BV124">
        <f>_xll.RssFOPMarket(131367018,"売買代金")</f>
        <v>0</v>
      </c>
      <c r="BW124">
        <f>_xll.RssFOPMarket(131367018,"始値")</f>
        <v>0</v>
      </c>
      <c r="BX124">
        <f>_xll.RssFOPMarket(131367018,"高値")</f>
        <v>0</v>
      </c>
      <c r="BY124">
        <f>_xll.RssFOPMarket(131367018,"安値")</f>
        <v>0</v>
      </c>
      <c r="BZ124">
        <f>_xll.RssFOPMarket(131367018,"前日終値")</f>
        <v>320</v>
      </c>
    </row>
    <row r="125" spans="43:78">
      <c r="AQ125" s="3"/>
      <c r="BH125">
        <v>131367518</v>
      </c>
      <c r="BI125" t="str">
        <f>_xll.RssFOPMarket(131367518,"銘柄名称")</f>
        <v>日経225オプション 26-12 P 57500</v>
      </c>
      <c r="BJ125">
        <v>1</v>
      </c>
      <c r="BK125" s="3" t="s">
        <v>15</v>
      </c>
      <c r="BL125" t="s">
        <v>16</v>
      </c>
      <c r="BM125">
        <v>57500</v>
      </c>
      <c r="BO125" t="str">
        <f>$AU$11</f>
        <v>2026/12/10</v>
      </c>
      <c r="BP125">
        <f>_xll.RssFOPMarket(131367518,"最良売気配値1")</f>
        <v>385</v>
      </c>
      <c r="BQ125">
        <f>_xll.RssFOPMarket(131367518,"最良売気配数量1")</f>
        <v>8</v>
      </c>
      <c r="BR125">
        <f>_xll.RssFOPMarket(131367518,"最良買気配値1")</f>
        <v>370</v>
      </c>
      <c r="BS125">
        <f>_xll.RssFOPMarket(131367518,"最良買気配数量1")</f>
        <v>8</v>
      </c>
      <c r="BT125">
        <f>_xll.RssFOPMarket(131367518,"現在値")</f>
        <v>0</v>
      </c>
      <c r="BU125">
        <f>_xll.RssFOPMarket(131367518,"出来高")</f>
        <v>0</v>
      </c>
      <c r="BV125">
        <f>_xll.RssFOPMarket(131367518,"売買代金")</f>
        <v>0</v>
      </c>
      <c r="BW125">
        <f>_xll.RssFOPMarket(131367518,"始値")</f>
        <v>0</v>
      </c>
      <c r="BX125">
        <f>_xll.RssFOPMarket(131367518,"高値")</f>
        <v>0</v>
      </c>
      <c r="BY125">
        <f>_xll.RssFOPMarket(131367518,"安値")</f>
        <v>0</v>
      </c>
      <c r="BZ125">
        <f>_xll.RssFOPMarket(131367518,"前日終値")</f>
        <v>345</v>
      </c>
    </row>
    <row r="126" spans="43:78">
      <c r="AQ126" s="3"/>
      <c r="BH126">
        <v>131368018</v>
      </c>
      <c r="BI126" t="str">
        <f>_xll.RssFOPMarket(131368018,"銘柄名称")</f>
        <v>日経225オプション 26-12 P 58000</v>
      </c>
      <c r="BJ126">
        <v>1</v>
      </c>
      <c r="BK126" s="3" t="s">
        <v>15</v>
      </c>
      <c r="BL126" t="s">
        <v>16</v>
      </c>
      <c r="BM126">
        <v>58000</v>
      </c>
      <c r="BO126" t="str">
        <f>$AU$11</f>
        <v>2026/12/10</v>
      </c>
      <c r="BP126">
        <f>_xll.RssFOPMarket(131368018,"最良売気配値1")</f>
        <v>415</v>
      </c>
      <c r="BQ126">
        <f>_xll.RssFOPMarket(131368018,"最良売気配数量1")</f>
        <v>2</v>
      </c>
      <c r="BR126">
        <f>_xll.RssFOPMarket(131368018,"最良買気配値1")</f>
        <v>410</v>
      </c>
      <c r="BS126">
        <f>_xll.RssFOPMarket(131368018,"最良買気配数量1")</f>
        <v>2</v>
      </c>
      <c r="BT126">
        <f>_xll.RssFOPMarket(131368018,"現在値")</f>
        <v>0</v>
      </c>
      <c r="BU126">
        <f>_xll.RssFOPMarket(131368018,"出来高")</f>
        <v>0</v>
      </c>
      <c r="BV126">
        <f>_xll.RssFOPMarket(131368018,"売買代金")</f>
        <v>0</v>
      </c>
      <c r="BW126">
        <f>_xll.RssFOPMarket(131368018,"始値")</f>
        <v>0</v>
      </c>
      <c r="BX126">
        <f>_xll.RssFOPMarket(131368018,"高値")</f>
        <v>0</v>
      </c>
      <c r="BY126">
        <f>_xll.RssFOPMarket(131368018,"安値")</f>
        <v>0</v>
      </c>
      <c r="BZ126">
        <f>_xll.RssFOPMarket(131368018,"前日終値")</f>
        <v>365</v>
      </c>
    </row>
    <row r="127" spans="43:78">
      <c r="AQ127" s="3"/>
      <c r="BH127">
        <v>131368518</v>
      </c>
      <c r="BI127" t="str">
        <f>_xll.RssFOPMarket(131368518,"銘柄名称")</f>
        <v>日経225オプション 26-12 P 58500</v>
      </c>
      <c r="BJ127">
        <v>1</v>
      </c>
      <c r="BK127" s="3" t="s">
        <v>15</v>
      </c>
      <c r="BL127" t="s">
        <v>16</v>
      </c>
      <c r="BM127">
        <v>58500</v>
      </c>
      <c r="BO127" t="str">
        <f>$AU$11</f>
        <v>2026/12/10</v>
      </c>
      <c r="BP127">
        <f>_xll.RssFOPMarket(131368518,"最良売気配値1")</f>
        <v>455</v>
      </c>
      <c r="BQ127">
        <f>_xll.RssFOPMarket(131368518,"最良売気配数量1")</f>
        <v>8</v>
      </c>
      <c r="BR127">
        <f>_xll.RssFOPMarket(131368518,"最良買気配値1")</f>
        <v>440</v>
      </c>
      <c r="BS127">
        <f>_xll.RssFOPMarket(131368518,"最良買気配数量1")</f>
        <v>8</v>
      </c>
      <c r="BT127">
        <f>_xll.RssFOPMarket(131368518,"現在値")</f>
        <v>0</v>
      </c>
      <c r="BU127">
        <f>_xll.RssFOPMarket(131368518,"出来高")</f>
        <v>0</v>
      </c>
      <c r="BV127">
        <f>_xll.RssFOPMarket(131368518,"売買代金")</f>
        <v>0</v>
      </c>
      <c r="BW127">
        <f>_xll.RssFOPMarket(131368518,"始値")</f>
        <v>0</v>
      </c>
      <c r="BX127">
        <f>_xll.RssFOPMarket(131368518,"高値")</f>
        <v>0</v>
      </c>
      <c r="BY127">
        <f>_xll.RssFOPMarket(131368518,"安値")</f>
        <v>0</v>
      </c>
      <c r="BZ127">
        <f>_xll.RssFOPMarket(131368518,"前日終値")</f>
        <v>485</v>
      </c>
    </row>
    <row r="128" spans="43:78">
      <c r="AQ128" s="3"/>
      <c r="BH128">
        <v>131369018</v>
      </c>
      <c r="BI128" t="str">
        <f>_xll.RssFOPMarket(131369018,"銘柄名称")</f>
        <v>日経225オプション 26-12 P 59000</v>
      </c>
      <c r="BJ128">
        <v>1</v>
      </c>
      <c r="BK128" s="3" t="s">
        <v>15</v>
      </c>
      <c r="BL128" t="s">
        <v>16</v>
      </c>
      <c r="BM128">
        <v>59000</v>
      </c>
      <c r="BO128" t="str">
        <f>$AU$11</f>
        <v>2026/12/10</v>
      </c>
      <c r="BP128">
        <f>_xll.RssFOPMarket(131369018,"最良売気配値1")</f>
        <v>495</v>
      </c>
      <c r="BQ128">
        <f>_xll.RssFOPMarket(131369018,"最良売気配数量1")</f>
        <v>11</v>
      </c>
      <c r="BR128">
        <f>_xll.RssFOPMarket(131369018,"最良買気配値1")</f>
        <v>480</v>
      </c>
      <c r="BS128">
        <f>_xll.RssFOPMarket(131369018,"最良買気配数量1")</f>
        <v>11</v>
      </c>
      <c r="BT128">
        <f>_xll.RssFOPMarket(131369018,"現在値")</f>
        <v>490</v>
      </c>
      <c r="BU128">
        <f>_xll.RssFOPMarket(131369018,"出来高")</f>
        <v>1</v>
      </c>
      <c r="BV128">
        <f>_xll.RssFOPMarket(131369018,"売買代金")</f>
        <v>490</v>
      </c>
      <c r="BW128">
        <f>_xll.RssFOPMarket(131369018,"始値")</f>
        <v>490</v>
      </c>
      <c r="BX128">
        <f>_xll.RssFOPMarket(131369018,"高値")</f>
        <v>490</v>
      </c>
      <c r="BY128">
        <f>_xll.RssFOPMarket(131369018,"安値")</f>
        <v>490</v>
      </c>
      <c r="BZ128">
        <f>_xll.RssFOPMarket(131369018,"前日終値")</f>
        <v>465</v>
      </c>
    </row>
    <row r="129" spans="40:78">
      <c r="AQ129" s="3"/>
      <c r="BH129">
        <v>131369518</v>
      </c>
      <c r="BI129" t="str">
        <f>_xll.RssFOPMarket(131369518,"銘柄名称")</f>
        <v>日経225オプション 26-12 P 59500</v>
      </c>
      <c r="BJ129">
        <v>1</v>
      </c>
      <c r="BK129" s="3" t="s">
        <v>15</v>
      </c>
      <c r="BL129" t="s">
        <v>16</v>
      </c>
      <c r="BM129">
        <v>59500</v>
      </c>
      <c r="BO129" t="str">
        <f>$AU$11</f>
        <v>2026/12/10</v>
      </c>
      <c r="BP129">
        <f>_xll.RssFOPMarket(131369518,"最良売気配値1")</f>
        <v>540</v>
      </c>
      <c r="BQ129">
        <f>_xll.RssFOPMarket(131369518,"最良売気配数量1")</f>
        <v>8</v>
      </c>
      <c r="BR129">
        <f>_xll.RssFOPMarket(131369518,"最良買気配値1")</f>
        <v>530</v>
      </c>
      <c r="BS129">
        <f>_xll.RssFOPMarket(131369518,"最良買気配数量1")</f>
        <v>2</v>
      </c>
      <c r="BT129">
        <f>_xll.RssFOPMarket(131369518,"現在値")</f>
        <v>0</v>
      </c>
      <c r="BU129">
        <f>_xll.RssFOPMarket(131369518,"出来高")</f>
        <v>0</v>
      </c>
      <c r="BV129">
        <f>_xll.RssFOPMarket(131369518,"売買代金")</f>
        <v>0</v>
      </c>
      <c r="BW129">
        <f>_xll.RssFOPMarket(131369518,"始値")</f>
        <v>0</v>
      </c>
      <c r="BX129">
        <f>_xll.RssFOPMarket(131369518,"高値")</f>
        <v>0</v>
      </c>
      <c r="BY129">
        <f>_xll.RssFOPMarket(131369518,"安値")</f>
        <v>0</v>
      </c>
      <c r="BZ129">
        <f>_xll.RssFOPMarket(131369518,"前日終値")</f>
        <v>550</v>
      </c>
    </row>
    <row r="130" spans="40:78">
      <c r="AQ130" s="3"/>
      <c r="BH130">
        <v>131360018</v>
      </c>
      <c r="BI130" t="str">
        <f>_xll.RssFOPMarket(131360018,"銘柄名称")</f>
        <v>日経225オプション 26-12 P 60000</v>
      </c>
      <c r="BJ130">
        <v>1</v>
      </c>
      <c r="BK130" s="3" t="s">
        <v>15</v>
      </c>
      <c r="BL130" t="s">
        <v>16</v>
      </c>
      <c r="BM130">
        <v>60000</v>
      </c>
      <c r="BO130" t="str">
        <f>$AU$11</f>
        <v>2026/12/10</v>
      </c>
      <c r="BP130">
        <f>_xll.RssFOPMarket(131360018,"最良売気配値1")</f>
        <v>590</v>
      </c>
      <c r="BQ130">
        <f>_xll.RssFOPMarket(131360018,"最良売気配数量1")</f>
        <v>11</v>
      </c>
      <c r="BR130">
        <f>_xll.RssFOPMarket(131360018,"最良買気配値1")</f>
        <v>580</v>
      </c>
      <c r="BS130">
        <f>_xll.RssFOPMarket(131360018,"最良買気配数量1")</f>
        <v>2</v>
      </c>
      <c r="BT130">
        <f>_xll.RssFOPMarket(131360018,"現在値")</f>
        <v>0</v>
      </c>
      <c r="BU130">
        <f>_xll.RssFOPMarket(131360018,"出来高")</f>
        <v>0</v>
      </c>
      <c r="BV130">
        <f>_xll.RssFOPMarket(131360018,"売買代金")</f>
        <v>0</v>
      </c>
      <c r="BW130">
        <f>_xll.RssFOPMarket(131360018,"始値")</f>
        <v>0</v>
      </c>
      <c r="BX130">
        <f>_xll.RssFOPMarket(131360018,"高値")</f>
        <v>0</v>
      </c>
      <c r="BY130">
        <f>_xll.RssFOPMarket(131360018,"安値")</f>
        <v>0</v>
      </c>
      <c r="BZ130">
        <f>_xll.RssFOPMarket(131360018,"前日終値")</f>
        <v>560</v>
      </c>
    </row>
    <row r="131" spans="40:78">
      <c r="AQ131" s="3"/>
      <c r="BH131">
        <v>131360518</v>
      </c>
      <c r="BI131" t="str">
        <f>_xll.RssFOPMarket(131360518,"銘柄名称")</f>
        <v>日経225オプション 26-12 P 60500</v>
      </c>
      <c r="BJ131">
        <v>1</v>
      </c>
      <c r="BK131" s="3" t="s">
        <v>15</v>
      </c>
      <c r="BL131" t="s">
        <v>16</v>
      </c>
      <c r="BM131">
        <v>60500</v>
      </c>
      <c r="BO131" t="str">
        <f>$AU$11</f>
        <v>2026/12/10</v>
      </c>
      <c r="BP131">
        <f>_xll.RssFOPMarket(131360518,"最良売気配値1")</f>
        <v>645</v>
      </c>
      <c r="BQ131">
        <f>_xll.RssFOPMarket(131360518,"最良売気配数量1")</f>
        <v>2</v>
      </c>
      <c r="BR131">
        <f>_xll.RssFOPMarket(131360518,"最良買気配値1")</f>
        <v>635</v>
      </c>
      <c r="BS131">
        <f>_xll.RssFOPMarket(131360518,"最良買気配数量1")</f>
        <v>2</v>
      </c>
      <c r="BT131">
        <f>_xll.RssFOPMarket(131360518,"現在値")</f>
        <v>0</v>
      </c>
      <c r="BU131">
        <f>_xll.RssFOPMarket(131360518,"出来高")</f>
        <v>0</v>
      </c>
      <c r="BV131">
        <f>_xll.RssFOPMarket(131360518,"売買代金")</f>
        <v>0</v>
      </c>
      <c r="BW131">
        <f>_xll.RssFOPMarket(131360518,"始値")</f>
        <v>0</v>
      </c>
      <c r="BX131">
        <f>_xll.RssFOPMarket(131360518,"高値")</f>
        <v>0</v>
      </c>
      <c r="BY131">
        <f>_xll.RssFOPMarket(131360518,"安値")</f>
        <v>0</v>
      </c>
      <c r="BZ131">
        <f>_xll.RssFOPMarket(131360518,"前日終値")</f>
        <v>550</v>
      </c>
    </row>
    <row r="132" spans="40:78">
      <c r="AQ132" s="3"/>
      <c r="BH132">
        <v>131361018</v>
      </c>
      <c r="BI132" t="str">
        <f>_xll.RssFOPMarket(131361018,"銘柄名称")</f>
        <v>日経225オプション 26-12 P 61000</v>
      </c>
      <c r="BJ132">
        <v>1</v>
      </c>
      <c r="BK132" s="3" t="s">
        <v>15</v>
      </c>
      <c r="BL132" t="s">
        <v>16</v>
      </c>
      <c r="BM132">
        <v>61000</v>
      </c>
      <c r="BO132" t="str">
        <f>$AU$11</f>
        <v>2026/12/10</v>
      </c>
      <c r="BP132">
        <f>_xll.RssFOPMarket(131361018,"最良売気配値1")</f>
        <v>710</v>
      </c>
      <c r="BQ132">
        <f>_xll.RssFOPMarket(131361018,"最良売気配数量1")</f>
        <v>8</v>
      </c>
      <c r="BR132">
        <f>_xll.RssFOPMarket(131361018,"最良買気配値1")</f>
        <v>695</v>
      </c>
      <c r="BS132">
        <f>_xll.RssFOPMarket(131361018,"最良買気配数量1")</f>
        <v>2</v>
      </c>
      <c r="BT132">
        <f>_xll.RssFOPMarket(131361018,"現在値")</f>
        <v>0</v>
      </c>
      <c r="BU132">
        <f>_xll.RssFOPMarket(131361018,"出来高")</f>
        <v>0</v>
      </c>
      <c r="BV132">
        <f>_xll.RssFOPMarket(131361018,"売買代金")</f>
        <v>0</v>
      </c>
      <c r="BW132">
        <f>_xll.RssFOPMarket(131361018,"始値")</f>
        <v>0</v>
      </c>
      <c r="BX132">
        <f>_xll.RssFOPMarket(131361018,"高値")</f>
        <v>0</v>
      </c>
      <c r="BY132">
        <f>_xll.RssFOPMarket(131361018,"安値")</f>
        <v>0</v>
      </c>
      <c r="BZ132">
        <f>_xll.RssFOPMarket(131361018,"前日終値")</f>
        <v>650</v>
      </c>
    </row>
    <row r="133" spans="40:78">
      <c r="AQ133" s="3"/>
      <c r="BH133">
        <v>131361518</v>
      </c>
      <c r="BI133" t="str">
        <f>_xll.RssFOPMarket(131361518,"銘柄名称")</f>
        <v>日経225オプション 26-12 P 61500</v>
      </c>
      <c r="BJ133">
        <v>1</v>
      </c>
      <c r="BK133" s="3" t="s">
        <v>15</v>
      </c>
      <c r="BL133" t="s">
        <v>16</v>
      </c>
      <c r="BM133">
        <v>61500</v>
      </c>
      <c r="BO133" t="str">
        <f>$AU$11</f>
        <v>2026/12/10</v>
      </c>
      <c r="BP133">
        <f>_xll.RssFOPMarket(131361518,"最良売気配値1")</f>
        <v>780</v>
      </c>
      <c r="BQ133">
        <f>_xll.RssFOPMarket(131361518,"最良売気配数量1")</f>
        <v>6</v>
      </c>
      <c r="BR133">
        <f>_xll.RssFOPMarket(131361518,"最良買気配値1")</f>
        <v>760</v>
      </c>
      <c r="BS133">
        <f>_xll.RssFOPMarket(131361518,"最良買気配数量1")</f>
        <v>2</v>
      </c>
      <c r="BT133">
        <f>_xll.RssFOPMarket(131361518,"現在値")</f>
        <v>0</v>
      </c>
      <c r="BU133">
        <f>_xll.RssFOPMarket(131361518,"出来高")</f>
        <v>0</v>
      </c>
      <c r="BV133">
        <f>_xll.RssFOPMarket(131361518,"売買代金")</f>
        <v>0</v>
      </c>
      <c r="BW133">
        <f>_xll.RssFOPMarket(131361518,"始値")</f>
        <v>0</v>
      </c>
      <c r="BX133">
        <f>_xll.RssFOPMarket(131361518,"高値")</f>
        <v>0</v>
      </c>
      <c r="BY133">
        <f>_xll.RssFOPMarket(131361518,"安値")</f>
        <v>0</v>
      </c>
      <c r="BZ133">
        <f>_xll.RssFOPMarket(131361518,"前日終値")</f>
        <v>700</v>
      </c>
    </row>
    <row r="134" spans="40:78">
      <c r="AQ134" s="3"/>
      <c r="BH134">
        <v>131362018</v>
      </c>
      <c r="BI134" t="str">
        <f>_xll.RssFOPMarket(131362018,"銘柄名称")</f>
        <v>日経225オプション 26-12 P 62000</v>
      </c>
      <c r="BJ134">
        <v>1</v>
      </c>
      <c r="BK134" s="3" t="s">
        <v>15</v>
      </c>
      <c r="BL134" t="s">
        <v>16</v>
      </c>
      <c r="BM134">
        <v>62000</v>
      </c>
      <c r="BO134" t="str">
        <f>$AU$11</f>
        <v>2026/12/10</v>
      </c>
      <c r="BP134">
        <f>_xll.RssFOPMarket(131362018,"最良売気配値1")</f>
        <v>855</v>
      </c>
      <c r="BQ134">
        <f>_xll.RssFOPMarket(131362018,"最良売気配数量1")</f>
        <v>8</v>
      </c>
      <c r="BR134">
        <f>_xll.RssFOPMarket(131362018,"最良買気配値1")</f>
        <v>840</v>
      </c>
      <c r="BS134">
        <f>_xll.RssFOPMarket(131362018,"最良買気配数量1")</f>
        <v>8</v>
      </c>
      <c r="BT134">
        <f>_xll.RssFOPMarket(131362018,"現在値")</f>
        <v>0</v>
      </c>
      <c r="BU134">
        <f>_xll.RssFOPMarket(131362018,"出来高")</f>
        <v>0</v>
      </c>
      <c r="BV134">
        <f>_xll.RssFOPMarket(131362018,"売買代金")</f>
        <v>0</v>
      </c>
      <c r="BW134">
        <f>_xll.RssFOPMarket(131362018,"始値")</f>
        <v>0</v>
      </c>
      <c r="BX134">
        <f>_xll.RssFOPMarket(131362018,"高値")</f>
        <v>0</v>
      </c>
      <c r="BY134">
        <f>_xll.RssFOPMarket(131362018,"安値")</f>
        <v>0</v>
      </c>
      <c r="BZ134">
        <f>_xll.RssFOPMarket(131362018,"前日終値")</f>
        <v>790</v>
      </c>
    </row>
    <row r="135" spans="40:78">
      <c r="AQ135" s="3"/>
      <c r="BH135">
        <v>181242518</v>
      </c>
      <c r="BI135" t="str">
        <f>_xll.RssFOPMarket(181242518,"銘柄名称")</f>
        <v>日経225オプション 26-12 P 62500</v>
      </c>
      <c r="BJ135">
        <v>1</v>
      </c>
      <c r="BK135" s="3" t="s">
        <v>15</v>
      </c>
      <c r="BL135" t="s">
        <v>16</v>
      </c>
      <c r="BM135">
        <v>62500</v>
      </c>
      <c r="BO135" t="str">
        <f>$AU$11</f>
        <v>2026/12/10</v>
      </c>
      <c r="BP135">
        <f>_xll.RssFOPMarket(181242518,"最良売気配値1")</f>
        <v>940</v>
      </c>
      <c r="BQ135">
        <f>_xll.RssFOPMarket(181242518,"最良売気配数量1")</f>
        <v>2</v>
      </c>
      <c r="BR135">
        <f>_xll.RssFOPMarket(181242518,"最良買気配値1")</f>
        <v>920</v>
      </c>
      <c r="BS135">
        <f>_xll.RssFOPMarket(181242518,"最良買気配数量1")</f>
        <v>6</v>
      </c>
      <c r="BT135">
        <f>_xll.RssFOPMarket(181242518,"現在値")</f>
        <v>0</v>
      </c>
      <c r="BU135">
        <f>_xll.RssFOPMarket(181242518,"出来高")</f>
        <v>0</v>
      </c>
      <c r="BV135">
        <f>_xll.RssFOPMarket(181242518,"売買代金")</f>
        <v>0</v>
      </c>
      <c r="BW135">
        <f>_xll.RssFOPMarket(181242518,"始値")</f>
        <v>0</v>
      </c>
      <c r="BX135">
        <f>_xll.RssFOPMarket(181242518,"高値")</f>
        <v>0</v>
      </c>
      <c r="BY135">
        <f>_xll.RssFOPMarket(181242518,"安値")</f>
        <v>0</v>
      </c>
      <c r="BZ135">
        <f>_xll.RssFOPMarket(181242518,"前日終値")</f>
        <v>900</v>
      </c>
    </row>
    <row r="136" spans="40:78">
      <c r="AQ136" s="3"/>
      <c r="BH136">
        <v>181363018</v>
      </c>
      <c r="BI136" t="str">
        <f>_xll.RssFOPMarket(181363018,"銘柄名称")</f>
        <v>日経225オプション 26-12 P 63000</v>
      </c>
      <c r="BJ136">
        <v>1</v>
      </c>
      <c r="BK136" s="3" t="s">
        <v>15</v>
      </c>
      <c r="BL136" t="s">
        <v>16</v>
      </c>
      <c r="BM136">
        <v>63000</v>
      </c>
      <c r="BO136" t="str">
        <f>$AU$11</f>
        <v>2026/12/10</v>
      </c>
      <c r="BP136">
        <f>_xll.RssFOPMarket(181363018,"最良売気配値1")</f>
        <v>1035</v>
      </c>
      <c r="BQ136">
        <f>_xll.RssFOPMarket(181363018,"最良売気配数量1")</f>
        <v>5</v>
      </c>
      <c r="BR136">
        <f>_xll.RssFOPMarket(181363018,"最良買気配値1")</f>
        <v>1020</v>
      </c>
      <c r="BS136">
        <f>_xll.RssFOPMarket(181363018,"最良買気配数量1")</f>
        <v>2</v>
      </c>
      <c r="BT136">
        <f>_xll.RssFOPMarket(181363018,"現在値")</f>
        <v>0</v>
      </c>
      <c r="BU136">
        <f>_xll.RssFOPMarket(181363018,"出来高")</f>
        <v>0</v>
      </c>
      <c r="BV136">
        <f>_xll.RssFOPMarket(181363018,"売買代金")</f>
        <v>0</v>
      </c>
      <c r="BW136">
        <f>_xll.RssFOPMarket(181363018,"始値")</f>
        <v>0</v>
      </c>
      <c r="BX136">
        <f>_xll.RssFOPMarket(181363018,"高値")</f>
        <v>0</v>
      </c>
      <c r="BY136">
        <f>_xll.RssFOPMarket(181363018,"安値")</f>
        <v>0</v>
      </c>
      <c r="BZ136">
        <f>_xll.RssFOPMarket(181363018,"前日終値")</f>
        <v>1065</v>
      </c>
    </row>
    <row r="137" spans="40:78">
      <c r="AQ137" s="3"/>
      <c r="BH137">
        <v>181363518</v>
      </c>
      <c r="BI137" t="str">
        <f>_xll.RssFOPMarket(181363518,"銘柄名称")</f>
        <v>日経225オプション 26-12 P 63500</v>
      </c>
      <c r="BJ137">
        <v>1</v>
      </c>
      <c r="BK137" s="3" t="s">
        <v>15</v>
      </c>
      <c r="BL137" t="s">
        <v>16</v>
      </c>
      <c r="BM137">
        <v>63500</v>
      </c>
      <c r="BO137" t="str">
        <f>$AU$11</f>
        <v>2026/12/10</v>
      </c>
      <c r="BP137">
        <f>_xll.RssFOPMarket(181363518,"最良売気配値1")</f>
        <v>1140</v>
      </c>
      <c r="BQ137">
        <f>_xll.RssFOPMarket(181363518,"最良売気配数量1")</f>
        <v>4</v>
      </c>
      <c r="BR137">
        <f>_xll.RssFOPMarket(181363518,"最良買気配値1")</f>
        <v>1110</v>
      </c>
      <c r="BS137">
        <f>_xll.RssFOPMarket(181363518,"最良買気配数量1")</f>
        <v>4</v>
      </c>
      <c r="BT137">
        <f>_xll.RssFOPMarket(181363518,"現在値")</f>
        <v>0</v>
      </c>
      <c r="BU137">
        <f>_xll.RssFOPMarket(181363518,"出来高")</f>
        <v>0</v>
      </c>
      <c r="BV137">
        <f>_xll.RssFOPMarket(181363518,"売買代金")</f>
        <v>0</v>
      </c>
      <c r="BW137">
        <f>_xll.RssFOPMarket(181363518,"始値")</f>
        <v>0</v>
      </c>
      <c r="BX137">
        <f>_xll.RssFOPMarket(181363518,"高値")</f>
        <v>0</v>
      </c>
      <c r="BY137">
        <f>_xll.RssFOPMarket(181363518,"安値")</f>
        <v>0</v>
      </c>
      <c r="BZ137">
        <f>_xll.RssFOPMarket(181363518,"前日終値")</f>
        <v>1150</v>
      </c>
    </row>
    <row r="138" spans="40:78">
      <c r="AQ138" s="3"/>
      <c r="BH138">
        <v>181364018</v>
      </c>
      <c r="BI138" t="str">
        <f>_xll.RssFOPMarket(181364018,"銘柄名称")</f>
        <v>日経225オプション 26-12 P 64000</v>
      </c>
      <c r="BJ138">
        <v>1</v>
      </c>
      <c r="BK138" s="3" t="s">
        <v>15</v>
      </c>
      <c r="BL138" t="s">
        <v>16</v>
      </c>
      <c r="BM138">
        <v>64000</v>
      </c>
      <c r="BO138" t="str">
        <f>$AU$11</f>
        <v>2026/12/10</v>
      </c>
      <c r="BP138">
        <f>_xll.RssFOPMarket(181364018,"最良売気配値1")</f>
        <v>1255</v>
      </c>
      <c r="BQ138">
        <f>_xll.RssFOPMarket(181364018,"最良売気配数量1")</f>
        <v>5</v>
      </c>
      <c r="BR138">
        <f>_xll.RssFOPMarket(181364018,"最良買気配値1")</f>
        <v>1230</v>
      </c>
      <c r="BS138">
        <f>_xll.RssFOPMarket(181364018,"最良買気配数量1")</f>
        <v>5</v>
      </c>
      <c r="BT138">
        <f>_xll.RssFOPMarket(181364018,"現在値")</f>
        <v>0</v>
      </c>
      <c r="BU138">
        <f>_xll.RssFOPMarket(181364018,"出来高")</f>
        <v>0</v>
      </c>
      <c r="BV138">
        <f>_xll.RssFOPMarket(181364018,"売買代金")</f>
        <v>0</v>
      </c>
      <c r="BW138">
        <f>_xll.RssFOPMarket(181364018,"始値")</f>
        <v>0</v>
      </c>
      <c r="BX138">
        <f>_xll.RssFOPMarket(181364018,"高値")</f>
        <v>0</v>
      </c>
      <c r="BY138">
        <f>_xll.RssFOPMarket(181364018,"安値")</f>
        <v>0</v>
      </c>
      <c r="BZ138">
        <f>_xll.RssFOPMarket(181364018,"前日終値")</f>
        <v>1145</v>
      </c>
    </row>
    <row r="139" spans="40:78">
      <c r="AQ139" s="3"/>
      <c r="BH139">
        <v>181364518</v>
      </c>
      <c r="BI139" t="str">
        <f>_xll.RssFOPMarket(181364518,"銘柄名称")</f>
        <v>日経225オプション 26-12 P 64500</v>
      </c>
      <c r="BJ139">
        <v>1</v>
      </c>
      <c r="BK139" s="3" t="s">
        <v>15</v>
      </c>
      <c r="BL139" t="s">
        <v>16</v>
      </c>
      <c r="BM139">
        <v>64500</v>
      </c>
      <c r="BO139" t="str">
        <f>$AU$11</f>
        <v>2026/12/10</v>
      </c>
      <c r="BP139">
        <f>_xll.RssFOPMarket(181364518,"最良売気配値1")</f>
        <v>1385</v>
      </c>
      <c r="BQ139">
        <f>_xll.RssFOPMarket(181364518,"最良売気配数量1")</f>
        <v>4</v>
      </c>
      <c r="BR139">
        <f>_xll.RssFOPMarket(181364518,"最良買気配値1")</f>
        <v>1355</v>
      </c>
      <c r="BS139">
        <f>_xll.RssFOPMarket(181364518,"最良買気配数量1")</f>
        <v>4</v>
      </c>
      <c r="BT139">
        <f>_xll.RssFOPMarket(181364518,"現在値")</f>
        <v>0</v>
      </c>
      <c r="BU139">
        <f>_xll.RssFOPMarket(181364518,"出来高")</f>
        <v>0</v>
      </c>
      <c r="BV139">
        <f>_xll.RssFOPMarket(181364518,"売買代金")</f>
        <v>0</v>
      </c>
      <c r="BW139">
        <f>_xll.RssFOPMarket(181364518,"始値")</f>
        <v>0</v>
      </c>
      <c r="BX139">
        <f>_xll.RssFOPMarket(181364518,"高値")</f>
        <v>0</v>
      </c>
      <c r="BY139">
        <f>_xll.RssFOPMarket(181364518,"安値")</f>
        <v>0</v>
      </c>
      <c r="BZ139">
        <f>_xll.RssFOPMarket(181364518,"前日終値")</f>
        <v>1140</v>
      </c>
    </row>
    <row r="140" spans="40:78">
      <c r="AN140">
        <v>191365018</v>
      </c>
      <c r="AO140" t="str">
        <f>_xll.RssFOPMarket(191365018,"銘柄名称")</f>
        <v>日経225オプション 26-12 C 65000</v>
      </c>
      <c r="AP140">
        <v>1</v>
      </c>
      <c r="AQ140" s="3" t="s">
        <v>15</v>
      </c>
      <c r="AR140" t="s">
        <v>17</v>
      </c>
      <c r="AS140">
        <v>65000</v>
      </c>
      <c r="AU140" t="str">
        <f>$AU$11</f>
        <v>2026/12/10</v>
      </c>
      <c r="AV140">
        <f>_xll.RssFOPMarket(191365018,"最良売気配値1")</f>
        <v>4860</v>
      </c>
      <c r="AW140">
        <f>_xll.RssFOPMarket(191365018,"最良売気配数量1")</f>
        <v>20</v>
      </c>
      <c r="AX140">
        <f>_xll.RssFOPMarket(191365018,"最良買気配値1")</f>
        <v>4400</v>
      </c>
      <c r="AY140">
        <f>_xll.RssFOPMarket(191365018,"最良買気配数量1")</f>
        <v>20</v>
      </c>
      <c r="AZ140">
        <f>_xll.RssFOPMarket(191365018,"現在値")</f>
        <v>0</v>
      </c>
      <c r="BA140">
        <f>_xll.RssFOPMarket(191365018,"出来高")</f>
        <v>0</v>
      </c>
      <c r="BB140">
        <f>_xll.RssFOPMarket(191365018,"売買代金")</f>
        <v>0</v>
      </c>
      <c r="BC140">
        <f>_xll.RssFOPMarket(191365018,"始値")</f>
        <v>0</v>
      </c>
      <c r="BD140">
        <f>_xll.RssFOPMarket(191365018,"高値")</f>
        <v>0</v>
      </c>
      <c r="BE140">
        <f>_xll.RssFOPMarket(191365018,"安値")</f>
        <v>0</v>
      </c>
      <c r="BF140">
        <f>_xll.RssFOPMarket(191365018,"前日終値")</f>
        <v>3025</v>
      </c>
      <c r="BH140">
        <v>181365018</v>
      </c>
      <c r="BI140" t="str">
        <f>_xll.RssFOPMarket(181365018,"銘柄名称")</f>
        <v>日経225オプション 26-12 P 65000</v>
      </c>
      <c r="BJ140">
        <v>1</v>
      </c>
      <c r="BK140" s="3" t="s">
        <v>15</v>
      </c>
      <c r="BL140" t="s">
        <v>16</v>
      </c>
      <c r="BM140">
        <v>65000</v>
      </c>
      <c r="BO140" t="str">
        <f>$AU$11</f>
        <v>2026/12/10</v>
      </c>
      <c r="BP140">
        <f>_xll.RssFOPMarket(181365018,"最良売気配値1")</f>
        <v>1520</v>
      </c>
      <c r="BQ140">
        <f>_xll.RssFOPMarket(181365018,"最良売気配数量1")</f>
        <v>23</v>
      </c>
      <c r="BR140">
        <f>_xll.RssFOPMarket(181365018,"最良買気配値1")</f>
        <v>1495</v>
      </c>
      <c r="BS140">
        <f>_xll.RssFOPMarket(181365018,"最良買気配数量1")</f>
        <v>5</v>
      </c>
      <c r="BT140">
        <f>_xll.RssFOPMarket(181365018,"現在値")</f>
        <v>0</v>
      </c>
      <c r="BU140">
        <f>_xll.RssFOPMarket(181365018,"出来高")</f>
        <v>0</v>
      </c>
      <c r="BV140">
        <f>_xll.RssFOPMarket(181365018,"売買代金")</f>
        <v>0</v>
      </c>
      <c r="BW140">
        <f>_xll.RssFOPMarket(181365018,"始値")</f>
        <v>0</v>
      </c>
      <c r="BX140">
        <f>_xll.RssFOPMarket(181365018,"高値")</f>
        <v>0</v>
      </c>
      <c r="BY140">
        <f>_xll.RssFOPMarket(181365018,"安値")</f>
        <v>0</v>
      </c>
      <c r="BZ140">
        <f>_xll.RssFOPMarket(181365018,"前日終値")</f>
        <v>1465</v>
      </c>
    </row>
    <row r="141" spans="40:78">
      <c r="AN141">
        <v>191365518</v>
      </c>
      <c r="AO141" t="str">
        <f>_xll.RssFOPMarket(191365518,"銘柄名称")</f>
        <v>日経225オプション 26-12 C 65500</v>
      </c>
      <c r="AP141">
        <v>1</v>
      </c>
      <c r="AQ141" s="3" t="s">
        <v>15</v>
      </c>
      <c r="AR141" t="s">
        <v>17</v>
      </c>
      <c r="AS141">
        <v>65500</v>
      </c>
      <c r="AU141" t="str">
        <f>$AU$11</f>
        <v>2026/12/10</v>
      </c>
      <c r="AV141">
        <f>_xll.RssFOPMarket(191365518,"最良売気配値1")</f>
        <v>4290</v>
      </c>
      <c r="AW141">
        <f>_xll.RssFOPMarket(191365518,"最良売気配数量1")</f>
        <v>8</v>
      </c>
      <c r="AX141">
        <f>_xll.RssFOPMarket(191365518,"最良買気配値1")</f>
        <v>4230</v>
      </c>
      <c r="AY141">
        <f>_xll.RssFOPMarket(191365518,"最良買気配数量1")</f>
        <v>2</v>
      </c>
      <c r="AZ141">
        <f>_xll.RssFOPMarket(191365518,"現在値")</f>
        <v>0</v>
      </c>
      <c r="BA141">
        <f>_xll.RssFOPMarket(191365518,"出来高")</f>
        <v>0</v>
      </c>
      <c r="BB141">
        <f>_xll.RssFOPMarket(191365518,"売買代金")</f>
        <v>0</v>
      </c>
      <c r="BC141">
        <f>_xll.RssFOPMarket(191365518,"始値")</f>
        <v>0</v>
      </c>
      <c r="BD141">
        <f>_xll.RssFOPMarket(191365518,"高値")</f>
        <v>0</v>
      </c>
      <c r="BE141">
        <f>_xll.RssFOPMarket(191365518,"安値")</f>
        <v>0</v>
      </c>
      <c r="BF141">
        <f>_xll.RssFOPMarket(191365518,"前日終値")</f>
        <v>2665</v>
      </c>
      <c r="BH141">
        <v>181365518</v>
      </c>
      <c r="BI141" t="str">
        <f>_xll.RssFOPMarket(181365518,"銘柄名称")</f>
        <v>日経225オプション 26-12 P 65500</v>
      </c>
      <c r="BJ141">
        <v>1</v>
      </c>
      <c r="BK141" s="3" t="s">
        <v>15</v>
      </c>
      <c r="BL141" t="s">
        <v>16</v>
      </c>
      <c r="BM141">
        <v>65500</v>
      </c>
      <c r="BO141" t="str">
        <f>$AU$11</f>
        <v>2026/12/10</v>
      </c>
      <c r="BP141">
        <f>_xll.RssFOPMarket(181365518,"最良売気配値1")</f>
        <v>1670</v>
      </c>
      <c r="BQ141">
        <f>_xll.RssFOPMarket(181365518,"最良売気配数量1")</f>
        <v>4</v>
      </c>
      <c r="BR141">
        <f>_xll.RssFOPMarket(181365518,"最良買気配値1")</f>
        <v>1640</v>
      </c>
      <c r="BS141">
        <f>_xll.RssFOPMarket(181365518,"最良買気配数量1")</f>
        <v>4</v>
      </c>
      <c r="BT141">
        <f>_xll.RssFOPMarket(181365518,"現在値")</f>
        <v>0</v>
      </c>
      <c r="BU141">
        <f>_xll.RssFOPMarket(181365518,"出来高")</f>
        <v>0</v>
      </c>
      <c r="BV141">
        <f>_xll.RssFOPMarket(181365518,"売買代金")</f>
        <v>0</v>
      </c>
      <c r="BW141">
        <f>_xll.RssFOPMarket(181365518,"始値")</f>
        <v>0</v>
      </c>
      <c r="BX141">
        <f>_xll.RssFOPMarket(181365518,"高値")</f>
        <v>0</v>
      </c>
      <c r="BY141">
        <f>_xll.RssFOPMarket(181365518,"安値")</f>
        <v>0</v>
      </c>
      <c r="BZ141">
        <f>_xll.RssFOPMarket(181365518,"前日終値")</f>
        <v>1825</v>
      </c>
    </row>
    <row r="142" spans="40:78">
      <c r="AN142">
        <v>191366018</v>
      </c>
      <c r="AO142" t="str">
        <f>_xll.RssFOPMarket(191366018,"銘柄名称")</f>
        <v>日経225オプション 26-12 C 66000</v>
      </c>
      <c r="AP142">
        <v>1</v>
      </c>
      <c r="AQ142" s="3" t="s">
        <v>15</v>
      </c>
      <c r="AR142" t="s">
        <v>17</v>
      </c>
      <c r="AS142">
        <v>66000</v>
      </c>
      <c r="AU142" t="str">
        <f>$AU$11</f>
        <v>2026/12/10</v>
      </c>
      <c r="AV142">
        <f>_xll.RssFOPMarket(191366018,"最良売気配値1")</f>
        <v>3960</v>
      </c>
      <c r="AW142">
        <f>_xll.RssFOPMarket(191366018,"最良売気配数量1")</f>
        <v>12</v>
      </c>
      <c r="AX142">
        <f>_xll.RssFOPMarket(191366018,"最良買気配値1")</f>
        <v>3890</v>
      </c>
      <c r="AY142">
        <f>_xll.RssFOPMarket(191366018,"最良買気配数量1")</f>
        <v>4</v>
      </c>
      <c r="AZ142">
        <f>_xll.RssFOPMarket(191366018,"現在値")</f>
        <v>0</v>
      </c>
      <c r="BA142">
        <f>_xll.RssFOPMarket(191366018,"出来高")</f>
        <v>0</v>
      </c>
      <c r="BB142">
        <f>_xll.RssFOPMarket(191366018,"売買代金")</f>
        <v>0</v>
      </c>
      <c r="BC142">
        <f>_xll.RssFOPMarket(191366018,"始値")</f>
        <v>0</v>
      </c>
      <c r="BD142">
        <f>_xll.RssFOPMarket(191366018,"高値")</f>
        <v>0</v>
      </c>
      <c r="BE142">
        <f>_xll.RssFOPMarket(191366018,"安値")</f>
        <v>0</v>
      </c>
      <c r="BF142">
        <f>_xll.RssFOPMarket(191366018,"前日終値")</f>
        <v>5750</v>
      </c>
      <c r="BH142">
        <v>181366018</v>
      </c>
      <c r="BI142" t="str">
        <f>_xll.RssFOPMarket(181366018,"銘柄名称")</f>
        <v>日経225オプション 26-12 P 66000</v>
      </c>
      <c r="BJ142">
        <v>1</v>
      </c>
      <c r="BK142" s="3" t="s">
        <v>15</v>
      </c>
      <c r="BL142" t="s">
        <v>16</v>
      </c>
      <c r="BM142">
        <v>66000</v>
      </c>
      <c r="BO142" t="str">
        <f>$AU$11</f>
        <v>2026/12/10</v>
      </c>
      <c r="BP142">
        <f>_xll.RssFOPMarket(181366018,"最良売気配値1")</f>
        <v>1835</v>
      </c>
      <c r="BQ142">
        <f>_xll.RssFOPMarket(181366018,"最良売気配数量1")</f>
        <v>5</v>
      </c>
      <c r="BR142">
        <f>_xll.RssFOPMarket(181366018,"最良買気配値1")</f>
        <v>1795</v>
      </c>
      <c r="BS142">
        <f>_xll.RssFOPMarket(181366018,"最良買気配数量1")</f>
        <v>34</v>
      </c>
      <c r="BT142">
        <f>_xll.RssFOPMarket(181366018,"現在値")</f>
        <v>0</v>
      </c>
      <c r="BU142">
        <f>_xll.RssFOPMarket(181366018,"出来高")</f>
        <v>0</v>
      </c>
      <c r="BV142">
        <f>_xll.RssFOPMarket(181366018,"売買代金")</f>
        <v>0</v>
      </c>
      <c r="BW142">
        <f>_xll.RssFOPMarket(181366018,"始値")</f>
        <v>0</v>
      </c>
      <c r="BX142">
        <f>_xll.RssFOPMarket(181366018,"高値")</f>
        <v>0</v>
      </c>
      <c r="BY142">
        <f>_xll.RssFOPMarket(181366018,"安値")</f>
        <v>0</v>
      </c>
      <c r="BZ142">
        <f>_xll.RssFOPMarket(181366018,"前日終値")</f>
        <v>1675</v>
      </c>
    </row>
    <row r="143" spans="40:78">
      <c r="AN143">
        <v>191366518</v>
      </c>
      <c r="AO143" t="str">
        <f>_xll.RssFOPMarket(191366518,"銘柄名称")</f>
        <v>日経225オプション 26-12 C 66500</v>
      </c>
      <c r="AP143">
        <v>1</v>
      </c>
      <c r="AQ143" s="3" t="s">
        <v>15</v>
      </c>
      <c r="AR143" t="s">
        <v>17</v>
      </c>
      <c r="AS143">
        <v>66500</v>
      </c>
      <c r="AU143" t="str">
        <f>$AU$11</f>
        <v>2026/12/10</v>
      </c>
      <c r="AV143">
        <f>_xll.RssFOPMarket(191366518,"最良売気配値1")</f>
        <v>3635</v>
      </c>
      <c r="AW143">
        <f>_xll.RssFOPMarket(191366518,"最良売気配数量1")</f>
        <v>3</v>
      </c>
      <c r="AX143">
        <f>_xll.RssFOPMarket(191366518,"最良買気配値1")</f>
        <v>3575</v>
      </c>
      <c r="AY143">
        <f>_xll.RssFOPMarket(191366518,"最良買気配数量1")</f>
        <v>3</v>
      </c>
      <c r="AZ143">
        <f>_xll.RssFOPMarket(191366518,"現在値")</f>
        <v>0</v>
      </c>
      <c r="BA143">
        <f>_xll.RssFOPMarket(191366518,"出来高")</f>
        <v>0</v>
      </c>
      <c r="BB143">
        <f>_xll.RssFOPMarket(191366518,"売買代金")</f>
        <v>0</v>
      </c>
      <c r="BC143">
        <f>_xll.RssFOPMarket(191366518,"始値")</f>
        <v>0</v>
      </c>
      <c r="BD143">
        <f>_xll.RssFOPMarket(191366518,"高値")</f>
        <v>0</v>
      </c>
      <c r="BE143">
        <f>_xll.RssFOPMarket(191366518,"安値")</f>
        <v>0</v>
      </c>
      <c r="BF143">
        <f>_xll.RssFOPMarket(191366518,"前日終値")</f>
        <v>5340</v>
      </c>
      <c r="BH143">
        <v>181366518</v>
      </c>
      <c r="BI143" t="str">
        <f>_xll.RssFOPMarket(181366518,"銘柄名称")</f>
        <v>日経225オプション 26-12 P 66500</v>
      </c>
      <c r="BJ143">
        <v>1</v>
      </c>
      <c r="BK143" s="3" t="s">
        <v>15</v>
      </c>
      <c r="BL143" t="s">
        <v>16</v>
      </c>
      <c r="BM143">
        <v>66500</v>
      </c>
      <c r="BO143" t="str">
        <f>$AU$11</f>
        <v>2026/12/10</v>
      </c>
      <c r="BP143">
        <f>_xll.RssFOPMarket(181366518,"最良売気配値1")</f>
        <v>2015</v>
      </c>
      <c r="BQ143">
        <f>_xll.RssFOPMarket(181366518,"最良売気配数量1")</f>
        <v>3</v>
      </c>
      <c r="BR143">
        <f>_xll.RssFOPMarket(181366518,"最良買気配値1")</f>
        <v>1980</v>
      </c>
      <c r="BS143">
        <f>_xll.RssFOPMarket(181366518,"最良買気配数量1")</f>
        <v>3</v>
      </c>
      <c r="BT143">
        <f>_xll.RssFOPMarket(181366518,"現在値")</f>
        <v>0</v>
      </c>
      <c r="BU143">
        <f>_xll.RssFOPMarket(181366518,"出来高")</f>
        <v>0</v>
      </c>
      <c r="BV143">
        <f>_xll.RssFOPMarket(181366518,"売買代金")</f>
        <v>0</v>
      </c>
      <c r="BW143">
        <f>_xll.RssFOPMarket(181366518,"始値")</f>
        <v>0</v>
      </c>
      <c r="BX143">
        <f>_xll.RssFOPMarket(181366518,"高値")</f>
        <v>0</v>
      </c>
      <c r="BY143">
        <f>_xll.RssFOPMarket(181366518,"安値")</f>
        <v>0</v>
      </c>
      <c r="BZ143">
        <f>_xll.RssFOPMarket(181366518,"前日終値")</f>
        <v>0</v>
      </c>
    </row>
    <row r="144" spans="40:78">
      <c r="AN144">
        <v>191367018</v>
      </c>
      <c r="AO144" t="str">
        <f>_xll.RssFOPMarket(191367018,"銘柄名称")</f>
        <v>日経225オプション 26-12 C 67000</v>
      </c>
      <c r="AP144">
        <v>1</v>
      </c>
      <c r="AQ144" s="3" t="s">
        <v>15</v>
      </c>
      <c r="AR144" t="s">
        <v>17</v>
      </c>
      <c r="AS144">
        <v>67000</v>
      </c>
      <c r="AU144" t="str">
        <f>$AU$11</f>
        <v>2026/12/10</v>
      </c>
      <c r="AV144">
        <f>_xll.RssFOPMarket(191367018,"最良売気配値1")</f>
        <v>3335</v>
      </c>
      <c r="AW144">
        <f>_xll.RssFOPMarket(191367018,"最良売気配数量1")</f>
        <v>13</v>
      </c>
      <c r="AX144">
        <f>_xll.RssFOPMarket(191367018,"最良買気配値1")</f>
        <v>3275</v>
      </c>
      <c r="AY144">
        <f>_xll.RssFOPMarket(191367018,"最良買気配数量1")</f>
        <v>4</v>
      </c>
      <c r="AZ144">
        <f>_xll.RssFOPMarket(191367018,"現在値")</f>
        <v>0</v>
      </c>
      <c r="BA144">
        <f>_xll.RssFOPMarket(191367018,"出来高")</f>
        <v>0</v>
      </c>
      <c r="BB144">
        <f>_xll.RssFOPMarket(191367018,"売買代金")</f>
        <v>0</v>
      </c>
      <c r="BC144">
        <f>_xll.RssFOPMarket(191367018,"始値")</f>
        <v>0</v>
      </c>
      <c r="BD144">
        <f>_xll.RssFOPMarket(191367018,"高値")</f>
        <v>0</v>
      </c>
      <c r="BE144">
        <f>_xll.RssFOPMarket(191367018,"安値")</f>
        <v>0</v>
      </c>
      <c r="BF144">
        <f>_xll.RssFOPMarket(191367018,"前日終値")</f>
        <v>4110</v>
      </c>
      <c r="BH144">
        <v>181367018</v>
      </c>
      <c r="BI144" t="str">
        <f>_xll.RssFOPMarket(181367018,"銘柄名称")</f>
        <v>日経225オプション 26-12 P 67000</v>
      </c>
      <c r="BJ144">
        <v>1</v>
      </c>
      <c r="BK144" s="3" t="s">
        <v>15</v>
      </c>
      <c r="BL144" t="s">
        <v>16</v>
      </c>
      <c r="BM144">
        <v>67000</v>
      </c>
      <c r="BO144" t="str">
        <f>$AU$11</f>
        <v>2026/12/10</v>
      </c>
      <c r="BP144">
        <f>_xll.RssFOPMarket(181367018,"最良売気配値1")</f>
        <v>2210</v>
      </c>
      <c r="BQ144">
        <f>_xll.RssFOPMarket(181367018,"最良売気配数量1")</f>
        <v>1</v>
      </c>
      <c r="BR144">
        <f>_xll.RssFOPMarket(181367018,"最良買気配値1")</f>
        <v>2175</v>
      </c>
      <c r="BS144">
        <f>_xll.RssFOPMarket(181367018,"最良買気配数量1")</f>
        <v>4</v>
      </c>
      <c r="BT144">
        <f>_xll.RssFOPMarket(181367018,"現在値")</f>
        <v>0</v>
      </c>
      <c r="BU144">
        <f>_xll.RssFOPMarket(181367018,"出来高")</f>
        <v>0</v>
      </c>
      <c r="BV144">
        <f>_xll.RssFOPMarket(181367018,"売買代金")</f>
        <v>0</v>
      </c>
      <c r="BW144">
        <f>_xll.RssFOPMarket(181367018,"始値")</f>
        <v>0</v>
      </c>
      <c r="BX144">
        <f>_xll.RssFOPMarket(181367018,"高値")</f>
        <v>0</v>
      </c>
      <c r="BY144">
        <f>_xll.RssFOPMarket(181367018,"安値")</f>
        <v>0</v>
      </c>
      <c r="BZ144">
        <f>_xll.RssFOPMarket(181367018,"前日終値")</f>
        <v>2115</v>
      </c>
    </row>
    <row r="145" spans="40:78">
      <c r="AN145">
        <v>141487518</v>
      </c>
      <c r="AO145" t="str">
        <f>_xll.RssFOPMarket(141487518,"銘柄名称")</f>
        <v>日経225オプション 26-12 C 67500</v>
      </c>
      <c r="AP145">
        <v>1</v>
      </c>
      <c r="AQ145" s="3" t="s">
        <v>15</v>
      </c>
      <c r="AR145" t="s">
        <v>17</v>
      </c>
      <c r="AS145">
        <v>67500</v>
      </c>
      <c r="AU145" t="str">
        <f>$AU$11</f>
        <v>2026/12/10</v>
      </c>
      <c r="AV145">
        <f>_xll.RssFOPMarket(141487518,"最良売気配値1")</f>
        <v>3030</v>
      </c>
      <c r="AW145">
        <f>_xll.RssFOPMarket(141487518,"最良売気配数量1")</f>
        <v>3</v>
      </c>
      <c r="AX145">
        <f>_xll.RssFOPMarket(141487518,"最良買気配値1")</f>
        <v>2990</v>
      </c>
      <c r="AY145">
        <f>_xll.RssFOPMarket(141487518,"最良買気配数量1")</f>
        <v>1</v>
      </c>
      <c r="AZ145">
        <f>_xll.RssFOPMarket(141487518,"現在値")</f>
        <v>0</v>
      </c>
      <c r="BA145">
        <f>_xll.RssFOPMarket(141487518,"出来高")</f>
        <v>0</v>
      </c>
      <c r="BB145">
        <f>_xll.RssFOPMarket(141487518,"売買代金")</f>
        <v>0</v>
      </c>
      <c r="BC145">
        <f>_xll.RssFOPMarket(141487518,"始値")</f>
        <v>0</v>
      </c>
      <c r="BD145">
        <f>_xll.RssFOPMarket(141487518,"高値")</f>
        <v>0</v>
      </c>
      <c r="BE145">
        <f>_xll.RssFOPMarket(141487518,"安値")</f>
        <v>0</v>
      </c>
      <c r="BF145">
        <f>_xll.RssFOPMarket(141487518,"前日終値")</f>
        <v>3795</v>
      </c>
      <c r="BH145">
        <v>131487518</v>
      </c>
      <c r="BI145" t="str">
        <f>_xll.RssFOPMarket(131487518,"銘柄名称")</f>
        <v>日経225オプション 26-12 P 67500</v>
      </c>
      <c r="BJ145">
        <v>1</v>
      </c>
      <c r="BK145" s="3" t="s">
        <v>15</v>
      </c>
      <c r="BL145" t="s">
        <v>16</v>
      </c>
      <c r="BM145">
        <v>67500</v>
      </c>
      <c r="BO145" t="str">
        <f>$AU$11</f>
        <v>2026/12/10</v>
      </c>
      <c r="BP145">
        <f>_xll.RssFOPMarket(131487518,"最良売気配値1")</f>
        <v>2440</v>
      </c>
      <c r="BQ145">
        <f>_xll.RssFOPMarket(131487518,"最良売気配数量1")</f>
        <v>3</v>
      </c>
      <c r="BR145">
        <f>_xll.RssFOPMarket(131487518,"最良買気配値1")</f>
        <v>2355</v>
      </c>
      <c r="BS145">
        <f>_xll.RssFOPMarket(131487518,"最良買気配数量1")</f>
        <v>3</v>
      </c>
      <c r="BT145">
        <f>_xll.RssFOPMarket(131487518,"現在値")</f>
        <v>0</v>
      </c>
      <c r="BU145">
        <f>_xll.RssFOPMarket(131487518,"出来高")</f>
        <v>0</v>
      </c>
      <c r="BV145">
        <f>_xll.RssFOPMarket(131487518,"売買代金")</f>
        <v>0</v>
      </c>
      <c r="BW145">
        <f>_xll.RssFOPMarket(131487518,"始値")</f>
        <v>0</v>
      </c>
      <c r="BX145">
        <f>_xll.RssFOPMarket(131487518,"高値")</f>
        <v>0</v>
      </c>
      <c r="BY145">
        <f>_xll.RssFOPMarket(131487518,"安値")</f>
        <v>0</v>
      </c>
      <c r="BZ145">
        <f>_xll.RssFOPMarket(131487518,"前日終値")</f>
        <v>2205</v>
      </c>
    </row>
    <row r="146" spans="40:78">
      <c r="AN146">
        <v>191368018</v>
      </c>
      <c r="AO146" t="str">
        <f>_xll.RssFOPMarket(191368018,"銘柄名称")</f>
        <v>日経225オプション 26-12 C 68000</v>
      </c>
      <c r="AP146">
        <v>1</v>
      </c>
      <c r="AQ146" s="3" t="s">
        <v>15</v>
      </c>
      <c r="AR146" t="s">
        <v>17</v>
      </c>
      <c r="AS146">
        <v>68000</v>
      </c>
      <c r="AU146" t="str">
        <f>$AU$11</f>
        <v>2026/12/10</v>
      </c>
      <c r="AV146">
        <f>_xll.RssFOPMarket(191368018,"最良売気配値1")</f>
        <v>2770</v>
      </c>
      <c r="AW146">
        <f>_xll.RssFOPMarket(191368018,"最良売気配数量1")</f>
        <v>4</v>
      </c>
      <c r="AX146">
        <f>_xll.RssFOPMarket(191368018,"最良買気配値1")</f>
        <v>2720</v>
      </c>
      <c r="AY146">
        <f>_xll.RssFOPMarket(191368018,"最良買気配数量1")</f>
        <v>1</v>
      </c>
      <c r="AZ146">
        <f>_xll.RssFOPMarket(191368018,"現在値")</f>
        <v>0</v>
      </c>
      <c r="BA146">
        <f>_xll.RssFOPMarket(191368018,"出来高")</f>
        <v>0</v>
      </c>
      <c r="BB146">
        <f>_xll.RssFOPMarket(191368018,"売買代金")</f>
        <v>0</v>
      </c>
      <c r="BC146">
        <f>_xll.RssFOPMarket(191368018,"始値")</f>
        <v>0</v>
      </c>
      <c r="BD146">
        <f>_xll.RssFOPMarket(191368018,"高値")</f>
        <v>0</v>
      </c>
      <c r="BE146">
        <f>_xll.RssFOPMarket(191368018,"安値")</f>
        <v>0</v>
      </c>
      <c r="BF146">
        <f>_xll.RssFOPMarket(191368018,"前日終値")</f>
        <v>2795</v>
      </c>
      <c r="BH146">
        <v>181368018</v>
      </c>
      <c r="BI146" t="str">
        <f>_xll.RssFOPMarket(181368018,"銘柄名称")</f>
        <v>日経225オプション 26-12 P 68000</v>
      </c>
      <c r="BJ146">
        <v>1</v>
      </c>
      <c r="BK146" s="3" t="s">
        <v>15</v>
      </c>
      <c r="BL146" t="s">
        <v>16</v>
      </c>
      <c r="BM146">
        <v>68000</v>
      </c>
      <c r="BO146" t="str">
        <f>$AU$11</f>
        <v>2026/12/10</v>
      </c>
      <c r="BP146">
        <f>_xll.RssFOPMarket(181368018,"最良売気配値1")</f>
        <v>2670</v>
      </c>
      <c r="BQ146">
        <f>_xll.RssFOPMarket(181368018,"最良売気配数量1")</f>
        <v>4</v>
      </c>
      <c r="BR146">
        <f>_xll.RssFOPMarket(181368018,"最良買気配値1")</f>
        <v>2580</v>
      </c>
      <c r="BS146">
        <f>_xll.RssFOPMarket(181368018,"最良買気配数量1")</f>
        <v>4</v>
      </c>
      <c r="BT146">
        <f>_xll.RssFOPMarket(181368018,"現在値")</f>
        <v>0</v>
      </c>
      <c r="BU146">
        <f>_xll.RssFOPMarket(181368018,"出来高")</f>
        <v>0</v>
      </c>
      <c r="BV146">
        <f>_xll.RssFOPMarket(181368018,"売買代金")</f>
        <v>0</v>
      </c>
      <c r="BW146">
        <f>_xll.RssFOPMarket(181368018,"始値")</f>
        <v>0</v>
      </c>
      <c r="BX146">
        <f>_xll.RssFOPMarket(181368018,"高値")</f>
        <v>0</v>
      </c>
      <c r="BY146">
        <f>_xll.RssFOPMarket(181368018,"安値")</f>
        <v>0</v>
      </c>
      <c r="BZ146">
        <f>_xll.RssFOPMarket(181368018,"前日終値")</f>
        <v>2650</v>
      </c>
    </row>
    <row r="147" spans="40:78">
      <c r="AN147">
        <v>191368518</v>
      </c>
      <c r="AO147" t="str">
        <f>_xll.RssFOPMarket(191368518,"銘柄名称")</f>
        <v>日経225オプション 26-12 C 68500</v>
      </c>
      <c r="AP147">
        <v>1</v>
      </c>
      <c r="AQ147" s="3" t="s">
        <v>15</v>
      </c>
      <c r="AR147" t="s">
        <v>17</v>
      </c>
      <c r="AS147">
        <v>68500</v>
      </c>
      <c r="AU147" t="str">
        <f>$AU$11</f>
        <v>2026/12/10</v>
      </c>
      <c r="AV147">
        <f>_xll.RssFOPMarket(191368518,"最良売気配値1")</f>
        <v>2515</v>
      </c>
      <c r="AW147">
        <f>_xll.RssFOPMarket(191368518,"最良売気配数量1")</f>
        <v>11</v>
      </c>
      <c r="AX147">
        <f>_xll.RssFOPMarket(191368518,"最良買気配値1")</f>
        <v>2455</v>
      </c>
      <c r="AY147">
        <f>_xll.RssFOPMarket(191368518,"最良買気配数量1")</f>
        <v>3</v>
      </c>
      <c r="AZ147">
        <f>_xll.RssFOPMarket(191368518,"現在値")</f>
        <v>0</v>
      </c>
      <c r="BA147">
        <f>_xll.RssFOPMarket(191368518,"出来高")</f>
        <v>0</v>
      </c>
      <c r="BB147">
        <f>_xll.RssFOPMarket(191368518,"売買代金")</f>
        <v>0</v>
      </c>
      <c r="BC147">
        <f>_xll.RssFOPMarket(191368518,"始値")</f>
        <v>0</v>
      </c>
      <c r="BD147">
        <f>_xll.RssFOPMarket(191368518,"高値")</f>
        <v>0</v>
      </c>
      <c r="BE147">
        <f>_xll.RssFOPMarket(191368518,"安値")</f>
        <v>0</v>
      </c>
      <c r="BF147">
        <f>_xll.RssFOPMarket(191368518,"前日終値")</f>
        <v>3020</v>
      </c>
      <c r="BH147">
        <v>181368518</v>
      </c>
      <c r="BI147" t="str">
        <f>_xll.RssFOPMarket(181368518,"銘柄名称")</f>
        <v>日経225オプション 26-12 P 68500</v>
      </c>
      <c r="BJ147">
        <v>1</v>
      </c>
      <c r="BK147" s="3" t="s">
        <v>15</v>
      </c>
      <c r="BL147" t="s">
        <v>16</v>
      </c>
      <c r="BM147">
        <v>68500</v>
      </c>
      <c r="BO147" t="str">
        <f>$AU$11</f>
        <v>2026/12/10</v>
      </c>
      <c r="BP147">
        <f>_xll.RssFOPMarket(181368518,"最良売気配値1")</f>
        <v>2915</v>
      </c>
      <c r="BQ147">
        <f>_xll.RssFOPMarket(181368518,"最良売気配数量1")</f>
        <v>3</v>
      </c>
      <c r="BR147">
        <f>_xll.RssFOPMarket(181368518,"最良買気配値1")</f>
        <v>2820</v>
      </c>
      <c r="BS147">
        <f>_xll.RssFOPMarket(181368518,"最良買気配数量1")</f>
        <v>3</v>
      </c>
      <c r="BT147">
        <f>_xll.RssFOPMarket(181368518,"現在値")</f>
        <v>0</v>
      </c>
      <c r="BU147">
        <f>_xll.RssFOPMarket(181368518,"出来高")</f>
        <v>0</v>
      </c>
      <c r="BV147">
        <f>_xll.RssFOPMarket(181368518,"売買代金")</f>
        <v>0</v>
      </c>
      <c r="BW147">
        <f>_xll.RssFOPMarket(181368518,"始値")</f>
        <v>0</v>
      </c>
      <c r="BX147">
        <f>_xll.RssFOPMarket(181368518,"高値")</f>
        <v>0</v>
      </c>
      <c r="BY147">
        <f>_xll.RssFOPMarket(181368518,"安値")</f>
        <v>0</v>
      </c>
      <c r="BZ147">
        <f>_xll.RssFOPMarket(181368518,"前日終値")</f>
        <v>2480</v>
      </c>
    </row>
    <row r="148" spans="40:78">
      <c r="AN148">
        <v>191369018</v>
      </c>
      <c r="AO148" t="str">
        <f>_xll.RssFOPMarket(191369018,"銘柄名称")</f>
        <v>日経225オプション 26-12 C 69000</v>
      </c>
      <c r="AP148">
        <v>1</v>
      </c>
      <c r="AQ148" s="3" t="s">
        <v>15</v>
      </c>
      <c r="AR148" t="s">
        <v>17</v>
      </c>
      <c r="AS148">
        <v>69000</v>
      </c>
      <c r="AU148" t="str">
        <f>$AU$11</f>
        <v>2026/12/10</v>
      </c>
      <c r="AV148">
        <f>_xll.RssFOPMarket(191369018,"最良売気配値1")</f>
        <v>2265</v>
      </c>
      <c r="AW148">
        <f>_xll.RssFOPMarket(191369018,"最良売気配数量1")</f>
        <v>4</v>
      </c>
      <c r="AX148">
        <f>_xll.RssFOPMarket(191369018,"最良買気配値1")</f>
        <v>2200</v>
      </c>
      <c r="AY148">
        <f>_xll.RssFOPMarket(191369018,"最良買気配数量1")</f>
        <v>36</v>
      </c>
      <c r="AZ148">
        <f>_xll.RssFOPMarket(191369018,"現在値")</f>
        <v>0</v>
      </c>
      <c r="BA148">
        <f>_xll.RssFOPMarket(191369018,"出来高")</f>
        <v>0</v>
      </c>
      <c r="BB148">
        <f>_xll.RssFOPMarket(191369018,"売買代金")</f>
        <v>0</v>
      </c>
      <c r="BC148">
        <f>_xll.RssFOPMarket(191369018,"始値")</f>
        <v>0</v>
      </c>
      <c r="BD148">
        <f>_xll.RssFOPMarket(191369018,"高値")</f>
        <v>0</v>
      </c>
      <c r="BE148">
        <f>_xll.RssFOPMarket(191369018,"安値")</f>
        <v>0</v>
      </c>
      <c r="BF148">
        <f>_xll.RssFOPMarket(191369018,"前日終値")</f>
        <v>2300</v>
      </c>
      <c r="BH148">
        <v>181369018</v>
      </c>
      <c r="BI148" t="str">
        <f>_xll.RssFOPMarket(181369018,"銘柄名称")</f>
        <v>日経225オプション 26-12 P 69000</v>
      </c>
      <c r="BJ148">
        <v>1</v>
      </c>
      <c r="BK148" s="3" t="s">
        <v>15</v>
      </c>
      <c r="BL148" t="s">
        <v>16</v>
      </c>
      <c r="BM148">
        <v>69000</v>
      </c>
      <c r="BO148" t="str">
        <f>$AU$11</f>
        <v>2026/12/10</v>
      </c>
      <c r="BP148">
        <f>_xll.RssFOPMarket(181369018,"最良売気配値1")</f>
        <v>3170</v>
      </c>
      <c r="BQ148">
        <f>_xll.RssFOPMarket(181369018,"最良売気配数量1")</f>
        <v>4</v>
      </c>
      <c r="BR148">
        <f>_xll.RssFOPMarket(181369018,"最良買気配値1")</f>
        <v>3105</v>
      </c>
      <c r="BS148">
        <f>_xll.RssFOPMarket(181369018,"最良買気配数量1")</f>
        <v>4</v>
      </c>
      <c r="BT148">
        <f>_xll.RssFOPMarket(181369018,"現在値")</f>
        <v>0</v>
      </c>
      <c r="BU148">
        <f>_xll.RssFOPMarket(181369018,"出来高")</f>
        <v>0</v>
      </c>
      <c r="BV148">
        <f>_xll.RssFOPMarket(181369018,"売買代金")</f>
        <v>0</v>
      </c>
      <c r="BW148">
        <f>_xll.RssFOPMarket(181369018,"始値")</f>
        <v>0</v>
      </c>
      <c r="BX148">
        <f>_xll.RssFOPMarket(181369018,"高値")</f>
        <v>0</v>
      </c>
      <c r="BY148">
        <f>_xll.RssFOPMarket(181369018,"安値")</f>
        <v>0</v>
      </c>
      <c r="BZ148">
        <f>_xll.RssFOPMarket(181369018,"前日終値")</f>
        <v>2645</v>
      </c>
    </row>
    <row r="149" spans="40:78">
      <c r="AN149">
        <v>191369518</v>
      </c>
      <c r="AO149" t="str">
        <f>_xll.RssFOPMarket(191369518,"銘柄名称")</f>
        <v>日経225オプション 26-12 C 69500</v>
      </c>
      <c r="AP149">
        <v>1</v>
      </c>
      <c r="AQ149" s="3" t="s">
        <v>15</v>
      </c>
      <c r="AR149" t="s">
        <v>17</v>
      </c>
      <c r="AS149">
        <v>69500</v>
      </c>
      <c r="AU149" t="str">
        <f>$AU$11</f>
        <v>2026/12/10</v>
      </c>
      <c r="AV149">
        <f>_xll.RssFOPMarket(191369518,"最良売気配値1")</f>
        <v>2050</v>
      </c>
      <c r="AW149">
        <f>_xll.RssFOPMarket(191369518,"最良売気配数量1")</f>
        <v>3</v>
      </c>
      <c r="AX149">
        <f>_xll.RssFOPMarket(191369518,"最良買気配値1")</f>
        <v>1975</v>
      </c>
      <c r="AY149">
        <f>_xll.RssFOPMarket(191369518,"最良買気配数量1")</f>
        <v>3</v>
      </c>
      <c r="AZ149">
        <f>_xll.RssFOPMarket(191369518,"現在値")</f>
        <v>0</v>
      </c>
      <c r="BA149">
        <f>_xll.RssFOPMarket(191369518,"出来高")</f>
        <v>0</v>
      </c>
      <c r="BB149">
        <f>_xll.RssFOPMarket(191369518,"売買代金")</f>
        <v>0</v>
      </c>
      <c r="BC149">
        <f>_xll.RssFOPMarket(191369518,"始値")</f>
        <v>0</v>
      </c>
      <c r="BD149">
        <f>_xll.RssFOPMarket(191369518,"高値")</f>
        <v>0</v>
      </c>
      <c r="BE149">
        <f>_xll.RssFOPMarket(191369518,"安値")</f>
        <v>0</v>
      </c>
      <c r="BF149">
        <f>_xll.RssFOPMarket(191369518,"前日終値")</f>
        <v>3140</v>
      </c>
      <c r="BH149">
        <v>181369518</v>
      </c>
      <c r="BI149" t="str">
        <f>_xll.RssFOPMarket(181369518,"銘柄名称")</f>
        <v>日経225オプション 26-12 P 69500</v>
      </c>
      <c r="BJ149">
        <v>1</v>
      </c>
      <c r="BK149" s="3" t="s">
        <v>15</v>
      </c>
      <c r="BL149" t="s">
        <v>16</v>
      </c>
      <c r="BM149">
        <v>69500</v>
      </c>
      <c r="BO149" t="str">
        <f>$AU$11</f>
        <v>2026/12/10</v>
      </c>
      <c r="BP149">
        <f>_xll.RssFOPMarket(181369518,"最良売気配値1")</f>
        <v>3435</v>
      </c>
      <c r="BQ149">
        <f>_xll.RssFOPMarket(181369518,"最良売気配数量1")</f>
        <v>3</v>
      </c>
      <c r="BR149">
        <f>_xll.RssFOPMarket(181369518,"最良買気配値1")</f>
        <v>3370</v>
      </c>
      <c r="BS149">
        <f>_xll.RssFOPMarket(181369518,"最良買気配数量1")</f>
        <v>13</v>
      </c>
      <c r="BT149">
        <f>_xll.RssFOPMarket(181369518,"現在値")</f>
        <v>0</v>
      </c>
      <c r="BU149">
        <f>_xll.RssFOPMarket(181369518,"出来高")</f>
        <v>0</v>
      </c>
      <c r="BV149">
        <f>_xll.RssFOPMarket(181369518,"売買代金")</f>
        <v>0</v>
      </c>
      <c r="BW149">
        <f>_xll.RssFOPMarket(181369518,"始値")</f>
        <v>0</v>
      </c>
      <c r="BX149">
        <f>_xll.RssFOPMarket(181369518,"高値")</f>
        <v>0</v>
      </c>
      <c r="BY149">
        <f>_xll.RssFOPMarket(181369518,"安値")</f>
        <v>0</v>
      </c>
      <c r="BZ149">
        <f>_xll.RssFOPMarket(181369518,"前日終値")</f>
        <v>3035</v>
      </c>
    </row>
    <row r="150" spans="40:78">
      <c r="AN150">
        <v>191360018</v>
      </c>
      <c r="AO150" t="str">
        <f>_xll.RssFOPMarket(191360018,"銘柄名称")</f>
        <v>日経225オプション 26-12 C 70000</v>
      </c>
      <c r="AP150">
        <v>1</v>
      </c>
      <c r="AQ150" s="3" t="s">
        <v>15</v>
      </c>
      <c r="AR150" t="s">
        <v>17</v>
      </c>
      <c r="AS150">
        <v>70000</v>
      </c>
      <c r="AU150" t="str">
        <f>$AU$11</f>
        <v>2026/12/10</v>
      </c>
      <c r="AV150">
        <f>_xll.RssFOPMarket(191360018,"最良売気配値1")</f>
        <v>1860</v>
      </c>
      <c r="AW150">
        <f>_xll.RssFOPMarket(191360018,"最良売気配数量1")</f>
        <v>4</v>
      </c>
      <c r="AX150">
        <f>_xll.RssFOPMarket(191360018,"最良買気配値1")</f>
        <v>1780</v>
      </c>
      <c r="AY150">
        <f>_xll.RssFOPMarket(191360018,"最良買気配数量1")</f>
        <v>4</v>
      </c>
      <c r="AZ150">
        <f>_xll.RssFOPMarket(191360018,"現在値")</f>
        <v>0</v>
      </c>
      <c r="BA150">
        <f>_xll.RssFOPMarket(191360018,"出来高")</f>
        <v>0</v>
      </c>
      <c r="BB150">
        <f>_xll.RssFOPMarket(191360018,"売買代金")</f>
        <v>0</v>
      </c>
      <c r="BC150">
        <f>_xll.RssFOPMarket(191360018,"始値")</f>
        <v>0</v>
      </c>
      <c r="BD150">
        <f>_xll.RssFOPMarket(191360018,"高値")</f>
        <v>0</v>
      </c>
      <c r="BE150">
        <f>_xll.RssFOPMarket(191360018,"安値")</f>
        <v>0</v>
      </c>
      <c r="BF150">
        <f>_xll.RssFOPMarket(191360018,"前日終値")</f>
        <v>1825</v>
      </c>
      <c r="BH150">
        <v>181360018</v>
      </c>
      <c r="BI150" t="str">
        <f>_xll.RssFOPMarket(181360018,"銘柄名称")</f>
        <v>日経225オプション 26-12 P 70000</v>
      </c>
      <c r="BJ150">
        <v>1</v>
      </c>
      <c r="BK150" s="3" t="s">
        <v>15</v>
      </c>
      <c r="BL150" t="s">
        <v>16</v>
      </c>
      <c r="BM150">
        <v>70000</v>
      </c>
      <c r="BO150" t="str">
        <f>$AU$11</f>
        <v>2026/12/10</v>
      </c>
      <c r="BP150">
        <f>_xll.RssFOPMarket(181360018,"最良売気配値1")</f>
        <v>3725</v>
      </c>
      <c r="BQ150">
        <f>_xll.RssFOPMarket(181360018,"最良売気配数量1")</f>
        <v>1</v>
      </c>
      <c r="BR150">
        <f>_xll.RssFOPMarket(181360018,"最良買気配値1")</f>
        <v>3665</v>
      </c>
      <c r="BS150">
        <f>_xll.RssFOPMarket(181360018,"最良買気配数量1")</f>
        <v>21</v>
      </c>
      <c r="BT150">
        <f>_xll.RssFOPMarket(181360018,"現在値")</f>
        <v>0</v>
      </c>
      <c r="BU150">
        <f>_xll.RssFOPMarket(181360018,"出来高")</f>
        <v>0</v>
      </c>
      <c r="BV150">
        <f>_xll.RssFOPMarket(181360018,"売買代金")</f>
        <v>0</v>
      </c>
      <c r="BW150">
        <f>_xll.RssFOPMarket(181360018,"始値")</f>
        <v>0</v>
      </c>
      <c r="BX150">
        <f>_xll.RssFOPMarket(181360018,"高値")</f>
        <v>0</v>
      </c>
      <c r="BY150">
        <f>_xll.RssFOPMarket(181360018,"安値")</f>
        <v>0</v>
      </c>
      <c r="BZ150">
        <f>_xll.RssFOPMarket(181360018,"前日終値")</f>
        <v>2880</v>
      </c>
    </row>
    <row r="151" spans="40:78">
      <c r="AN151">
        <v>191360518</v>
      </c>
      <c r="AO151" t="str">
        <f>_xll.RssFOPMarket(191360518,"銘柄名称")</f>
        <v>日経225オプション 26-12 C 70500</v>
      </c>
      <c r="AP151">
        <v>1</v>
      </c>
      <c r="AQ151" s="3" t="s">
        <v>15</v>
      </c>
      <c r="AR151" t="s">
        <v>17</v>
      </c>
      <c r="AS151">
        <v>70500</v>
      </c>
      <c r="AU151" t="str">
        <f>$AU$11</f>
        <v>2026/12/10</v>
      </c>
      <c r="AV151">
        <f>_xll.RssFOPMarket(191360518,"最良売気配値1")</f>
        <v>1655</v>
      </c>
      <c r="AW151">
        <f>_xll.RssFOPMarket(191360518,"最良売気配数量1")</f>
        <v>3</v>
      </c>
      <c r="AX151">
        <f>_xll.RssFOPMarket(191360518,"最良買気配値1")</f>
        <v>1605</v>
      </c>
      <c r="AY151">
        <f>_xll.RssFOPMarket(191360518,"最良買気配数量1")</f>
        <v>3</v>
      </c>
      <c r="AZ151">
        <f>_xll.RssFOPMarket(191360518,"現在値")</f>
        <v>0</v>
      </c>
      <c r="BA151">
        <f>_xll.RssFOPMarket(191360518,"出来高")</f>
        <v>0</v>
      </c>
      <c r="BB151">
        <f>_xll.RssFOPMarket(191360518,"売買代金")</f>
        <v>0</v>
      </c>
      <c r="BC151">
        <f>_xll.RssFOPMarket(191360518,"始値")</f>
        <v>0</v>
      </c>
      <c r="BD151">
        <f>_xll.RssFOPMarket(191360518,"高値")</f>
        <v>0</v>
      </c>
      <c r="BE151">
        <f>_xll.RssFOPMarket(191360518,"安値")</f>
        <v>0</v>
      </c>
      <c r="BF151">
        <f>_xll.RssFOPMarket(191360518,"前日終値")</f>
        <v>2350</v>
      </c>
      <c r="BH151">
        <v>181360518</v>
      </c>
      <c r="BI151" t="str">
        <f>_xll.RssFOPMarket(181360518,"銘柄名称")</f>
        <v>日経225オプション 26-12 P 70500</v>
      </c>
      <c r="BJ151">
        <v>1</v>
      </c>
      <c r="BK151" s="3" t="s">
        <v>15</v>
      </c>
      <c r="BL151" t="s">
        <v>16</v>
      </c>
      <c r="BM151">
        <v>70500</v>
      </c>
      <c r="BO151" t="str">
        <f>$AU$11</f>
        <v>2026/12/10</v>
      </c>
      <c r="BP151">
        <f>_xll.RssFOPMarket(181360518,"最良売気配値1")</f>
        <v>4045</v>
      </c>
      <c r="BQ151">
        <f>_xll.RssFOPMarket(181360518,"最良売気配数量1")</f>
        <v>3</v>
      </c>
      <c r="BR151">
        <f>_xll.RssFOPMarket(181360518,"最良買気配値1")</f>
        <v>3980</v>
      </c>
      <c r="BS151">
        <f>_xll.RssFOPMarket(181360518,"最良買気配数量1")</f>
        <v>3</v>
      </c>
      <c r="BT151">
        <f>_xll.RssFOPMarket(181360518,"現在値")</f>
        <v>0</v>
      </c>
      <c r="BU151">
        <f>_xll.RssFOPMarket(181360518,"出来高")</f>
        <v>0</v>
      </c>
      <c r="BV151">
        <f>_xll.RssFOPMarket(181360518,"売買代金")</f>
        <v>0</v>
      </c>
      <c r="BW151">
        <f>_xll.RssFOPMarket(181360518,"始値")</f>
        <v>0</v>
      </c>
      <c r="BX151">
        <f>_xll.RssFOPMarket(181360518,"高値")</f>
        <v>0</v>
      </c>
      <c r="BY151">
        <f>_xll.RssFOPMarket(181360518,"安値")</f>
        <v>0</v>
      </c>
      <c r="BZ151">
        <f>_xll.RssFOPMarket(181360518,"前日終値")</f>
        <v>6120</v>
      </c>
    </row>
    <row r="152" spans="40:78">
      <c r="AN152">
        <v>191361018</v>
      </c>
      <c r="AO152" t="str">
        <f>_xll.RssFOPMarket(191361018,"銘柄名称")</f>
        <v>日経225オプション 26-12 C 71000</v>
      </c>
      <c r="AP152">
        <v>1</v>
      </c>
      <c r="AQ152" s="3" t="s">
        <v>15</v>
      </c>
      <c r="AR152" t="s">
        <v>17</v>
      </c>
      <c r="AS152">
        <v>71000</v>
      </c>
      <c r="AU152" t="str">
        <f>$AU$11</f>
        <v>2026/12/10</v>
      </c>
      <c r="AV152">
        <f>_xll.RssFOPMarket(191361018,"最良売気配値1")</f>
        <v>1485</v>
      </c>
      <c r="AW152">
        <f>_xll.RssFOPMarket(191361018,"最良売気配数量1")</f>
        <v>4</v>
      </c>
      <c r="AX152">
        <f>_xll.RssFOPMarket(191361018,"最良買気配値1")</f>
        <v>1425</v>
      </c>
      <c r="AY152">
        <f>_xll.RssFOPMarket(191361018,"最良買気配数量1")</f>
        <v>4</v>
      </c>
      <c r="AZ152">
        <f>_xll.RssFOPMarket(191361018,"現在値")</f>
        <v>0</v>
      </c>
      <c r="BA152">
        <f>_xll.RssFOPMarket(191361018,"出来高")</f>
        <v>0</v>
      </c>
      <c r="BB152">
        <f>_xll.RssFOPMarket(191361018,"売買代金")</f>
        <v>0</v>
      </c>
      <c r="BC152">
        <f>_xll.RssFOPMarket(191361018,"始値")</f>
        <v>0</v>
      </c>
      <c r="BD152">
        <f>_xll.RssFOPMarket(191361018,"高値")</f>
        <v>0</v>
      </c>
      <c r="BE152">
        <f>_xll.RssFOPMarket(191361018,"安値")</f>
        <v>0</v>
      </c>
      <c r="BF152">
        <f>_xll.RssFOPMarket(191361018,"前日終値")</f>
        <v>1490</v>
      </c>
      <c r="BH152">
        <v>181361018</v>
      </c>
      <c r="BI152" t="str">
        <f>_xll.RssFOPMarket(181361018,"銘柄名称")</f>
        <v>日経225オプション 26-12 P 71000</v>
      </c>
      <c r="BJ152">
        <v>1</v>
      </c>
      <c r="BK152" s="3" t="s">
        <v>15</v>
      </c>
      <c r="BL152" t="s">
        <v>16</v>
      </c>
      <c r="BM152">
        <v>71000</v>
      </c>
      <c r="BO152" t="str">
        <f>$AU$11</f>
        <v>2026/12/10</v>
      </c>
      <c r="BP152">
        <f>_xll.RssFOPMarket(181361018,"最良売気配値1")</f>
        <v>4375</v>
      </c>
      <c r="BQ152">
        <f>_xll.RssFOPMarket(181361018,"最良売気配数量1")</f>
        <v>4</v>
      </c>
      <c r="BR152">
        <f>_xll.RssFOPMarket(181361018,"最良買気配値1")</f>
        <v>4295</v>
      </c>
      <c r="BS152">
        <f>_xll.RssFOPMarket(181361018,"最良買気配数量1")</f>
        <v>12</v>
      </c>
      <c r="BT152">
        <f>_xll.RssFOPMarket(181361018,"現在値")</f>
        <v>0</v>
      </c>
      <c r="BU152">
        <f>_xll.RssFOPMarket(181361018,"出来高")</f>
        <v>0</v>
      </c>
      <c r="BV152">
        <f>_xll.RssFOPMarket(181361018,"売買代金")</f>
        <v>0</v>
      </c>
      <c r="BW152">
        <f>_xll.RssFOPMarket(181361018,"始値")</f>
        <v>0</v>
      </c>
      <c r="BX152">
        <f>_xll.RssFOPMarket(181361018,"高値")</f>
        <v>0</v>
      </c>
      <c r="BY152">
        <f>_xll.RssFOPMarket(181361018,"安値")</f>
        <v>0</v>
      </c>
      <c r="BZ152">
        <f>_xll.RssFOPMarket(181361018,"前日終値")</f>
        <v>3700</v>
      </c>
    </row>
    <row r="153" spans="40:78">
      <c r="AN153">
        <v>191361518</v>
      </c>
      <c r="AO153" t="str">
        <f>_xll.RssFOPMarket(191361518,"銘柄名称")</f>
        <v>日経225オプション 26-12 C 71500</v>
      </c>
      <c r="AP153">
        <v>1</v>
      </c>
      <c r="AQ153" s="3" t="s">
        <v>15</v>
      </c>
      <c r="AR153" t="s">
        <v>17</v>
      </c>
      <c r="AS153">
        <v>71500</v>
      </c>
      <c r="AU153" t="str">
        <f>$AU$11</f>
        <v>2026/12/10</v>
      </c>
      <c r="AV153">
        <f>_xll.RssFOPMarket(191361518,"最良売気配値1")</f>
        <v>1320</v>
      </c>
      <c r="AW153">
        <f>_xll.RssFOPMarket(191361518,"最良売気配数量1")</f>
        <v>25</v>
      </c>
      <c r="AX153">
        <f>_xll.RssFOPMarket(191361518,"最良買気配値1")</f>
        <v>1270</v>
      </c>
      <c r="AY153">
        <f>_xll.RssFOPMarket(191361518,"最良買気配数量1")</f>
        <v>4</v>
      </c>
      <c r="AZ153">
        <f>_xll.RssFOPMarket(191361518,"現在値")</f>
        <v>0</v>
      </c>
      <c r="BA153">
        <f>_xll.RssFOPMarket(191361518,"出来高")</f>
        <v>0</v>
      </c>
      <c r="BB153">
        <f>_xll.RssFOPMarket(191361518,"売買代金")</f>
        <v>0</v>
      </c>
      <c r="BC153">
        <f>_xll.RssFOPMarket(191361518,"始値")</f>
        <v>0</v>
      </c>
      <c r="BD153">
        <f>_xll.RssFOPMarket(191361518,"高値")</f>
        <v>0</v>
      </c>
      <c r="BE153">
        <f>_xll.RssFOPMarket(191361518,"安値")</f>
        <v>0</v>
      </c>
      <c r="BF153">
        <f>_xll.RssFOPMarket(191361518,"前日終値")</f>
        <v>1635</v>
      </c>
      <c r="BK153" s="3"/>
    </row>
    <row r="154" spans="40:78">
      <c r="AN154">
        <v>191362018</v>
      </c>
      <c r="AO154" t="str">
        <f>_xll.RssFOPMarket(191362018,"銘柄名称")</f>
        <v>日経225オプション 26-12 C 72000</v>
      </c>
      <c r="AP154">
        <v>1</v>
      </c>
      <c r="AQ154" s="3" t="s">
        <v>15</v>
      </c>
      <c r="AR154" t="s">
        <v>17</v>
      </c>
      <c r="AS154">
        <v>72000</v>
      </c>
      <c r="AU154" t="str">
        <f>$AU$11</f>
        <v>2026/12/10</v>
      </c>
      <c r="AV154">
        <f>_xll.RssFOPMarket(191362018,"最良売気配値1")</f>
        <v>1155</v>
      </c>
      <c r="AW154">
        <f>_xll.RssFOPMarket(191362018,"最良売気配数量1")</f>
        <v>5</v>
      </c>
      <c r="AX154">
        <f>_xll.RssFOPMarket(191362018,"最良買気配値1")</f>
        <v>1125</v>
      </c>
      <c r="AY154">
        <f>_xll.RssFOPMarket(191362018,"最良買気配数量1")</f>
        <v>5</v>
      </c>
      <c r="AZ154">
        <f>_xll.RssFOPMarket(191362018,"現在値")</f>
        <v>0</v>
      </c>
      <c r="BA154">
        <f>_xll.RssFOPMarket(191362018,"出来高")</f>
        <v>0</v>
      </c>
      <c r="BB154">
        <f>_xll.RssFOPMarket(191362018,"売買代金")</f>
        <v>0</v>
      </c>
      <c r="BC154">
        <f>_xll.RssFOPMarket(191362018,"始値")</f>
        <v>0</v>
      </c>
      <c r="BD154">
        <f>_xll.RssFOPMarket(191362018,"高値")</f>
        <v>0</v>
      </c>
      <c r="BE154">
        <f>_xll.RssFOPMarket(191362018,"安値")</f>
        <v>0</v>
      </c>
      <c r="BF154">
        <f>_xll.RssFOPMarket(191362018,"前日終値")</f>
        <v>1225</v>
      </c>
      <c r="BK154" s="3"/>
    </row>
    <row r="155" spans="40:78">
      <c r="AN155">
        <v>141482518</v>
      </c>
      <c r="AO155" t="str">
        <f>_xll.RssFOPMarket(141482518,"銘柄名称")</f>
        <v>日経225オプション 26-12 C 72500</v>
      </c>
      <c r="AP155">
        <v>1</v>
      </c>
      <c r="AQ155" s="3" t="s">
        <v>15</v>
      </c>
      <c r="AR155" t="s">
        <v>17</v>
      </c>
      <c r="AS155">
        <v>72500</v>
      </c>
      <c r="AU155" t="str">
        <f>$AU$11</f>
        <v>2026/12/10</v>
      </c>
      <c r="AV155">
        <f>_xll.RssFOPMarket(141482518,"最良売気配値1")</f>
        <v>1010</v>
      </c>
      <c r="AW155">
        <f>_xll.RssFOPMarket(141482518,"最良売気配数量1")</f>
        <v>2</v>
      </c>
      <c r="AX155">
        <f>_xll.RssFOPMarket(141482518,"最良買気配値1")</f>
        <v>995</v>
      </c>
      <c r="AY155">
        <f>_xll.RssFOPMarket(141482518,"最良買気配数量1")</f>
        <v>2</v>
      </c>
      <c r="AZ155">
        <f>_xll.RssFOPMarket(141482518,"現在値")</f>
        <v>1085</v>
      </c>
      <c r="BA155">
        <f>_xll.RssFOPMarket(141482518,"出来高")</f>
        <v>1</v>
      </c>
      <c r="BB155">
        <f>_xll.RssFOPMarket(141482518,"売買代金")</f>
        <v>1085</v>
      </c>
      <c r="BC155">
        <f>_xll.RssFOPMarket(141482518,"始値")</f>
        <v>1085</v>
      </c>
      <c r="BD155">
        <f>_xll.RssFOPMarket(141482518,"高値")</f>
        <v>1085</v>
      </c>
      <c r="BE155">
        <f>_xll.RssFOPMarket(141482518,"安値")</f>
        <v>1085</v>
      </c>
      <c r="BF155">
        <f>_xll.RssFOPMarket(141482518,"前日終値")</f>
        <v>995</v>
      </c>
      <c r="BK155" s="3"/>
    </row>
    <row r="156" spans="40:78">
      <c r="AN156">
        <v>141483018</v>
      </c>
      <c r="AO156" t="str">
        <f>_xll.RssFOPMarket(141483018,"銘柄名称")</f>
        <v>日経225オプション 26-12 C 73000</v>
      </c>
      <c r="AP156">
        <v>1</v>
      </c>
      <c r="AQ156" s="3" t="s">
        <v>15</v>
      </c>
      <c r="AR156" t="s">
        <v>17</v>
      </c>
      <c r="AS156">
        <v>73000</v>
      </c>
      <c r="AU156" t="str">
        <f>$AU$11</f>
        <v>2026/12/10</v>
      </c>
      <c r="AV156">
        <f>_xll.RssFOPMarket(141483018,"最良売気配値1")</f>
        <v>900</v>
      </c>
      <c r="AW156">
        <f>_xll.RssFOPMarket(141483018,"最良売気配数量1")</f>
        <v>5</v>
      </c>
      <c r="AX156">
        <f>_xll.RssFOPMarket(141483018,"最良買気配値1")</f>
        <v>875</v>
      </c>
      <c r="AY156">
        <f>_xll.RssFOPMarket(141483018,"最良買気配数量1")</f>
        <v>5</v>
      </c>
      <c r="AZ156">
        <f>_xll.RssFOPMarket(141483018,"現在値")</f>
        <v>0</v>
      </c>
      <c r="BA156">
        <f>_xll.RssFOPMarket(141483018,"出来高")</f>
        <v>0</v>
      </c>
      <c r="BB156">
        <f>_xll.RssFOPMarket(141483018,"売買代金")</f>
        <v>0</v>
      </c>
      <c r="BC156">
        <f>_xll.RssFOPMarket(141483018,"始値")</f>
        <v>0</v>
      </c>
      <c r="BD156">
        <f>_xll.RssFOPMarket(141483018,"高値")</f>
        <v>0</v>
      </c>
      <c r="BE156">
        <f>_xll.RssFOPMarket(141483018,"安値")</f>
        <v>0</v>
      </c>
      <c r="BF156">
        <f>_xll.RssFOPMarket(141483018,"前日終値")</f>
        <v>880</v>
      </c>
      <c r="BK156" s="3"/>
    </row>
    <row r="157" spans="40:78">
      <c r="AN157">
        <v>141483518</v>
      </c>
      <c r="AO157" t="str">
        <f>_xll.RssFOPMarket(141483518,"銘柄名称")</f>
        <v>日経225オプション 26-12 C 73500</v>
      </c>
      <c r="AP157">
        <v>1</v>
      </c>
      <c r="AQ157" s="3" t="s">
        <v>15</v>
      </c>
      <c r="AR157" t="s">
        <v>17</v>
      </c>
      <c r="AS157">
        <v>73500</v>
      </c>
      <c r="AU157" t="str">
        <f>$AU$11</f>
        <v>2026/12/10</v>
      </c>
      <c r="AV157">
        <f>_xll.RssFOPMarket(141483518,"最良売気配値1")</f>
        <v>795</v>
      </c>
      <c r="AW157">
        <f>_xll.RssFOPMarket(141483518,"最良売気配数量1")</f>
        <v>4</v>
      </c>
      <c r="AX157">
        <f>_xll.RssFOPMarket(141483518,"最良買気配値1")</f>
        <v>765</v>
      </c>
      <c r="AY157">
        <f>_xll.RssFOPMarket(141483518,"最良買気配数量1")</f>
        <v>16</v>
      </c>
      <c r="AZ157">
        <f>_xll.RssFOPMarket(141483518,"現在値")</f>
        <v>0</v>
      </c>
      <c r="BA157">
        <f>_xll.RssFOPMarket(141483518,"出来高")</f>
        <v>0</v>
      </c>
      <c r="BB157">
        <f>_xll.RssFOPMarket(141483518,"売買代金")</f>
        <v>0</v>
      </c>
      <c r="BC157">
        <f>_xll.RssFOPMarket(141483518,"始値")</f>
        <v>0</v>
      </c>
      <c r="BD157">
        <f>_xll.RssFOPMarket(141483518,"高値")</f>
        <v>0</v>
      </c>
      <c r="BE157">
        <f>_xll.RssFOPMarket(141483518,"安値")</f>
        <v>0</v>
      </c>
      <c r="BF157">
        <f>_xll.RssFOPMarket(141483518,"前日終値")</f>
        <v>850</v>
      </c>
      <c r="BK157" s="3"/>
    </row>
    <row r="158" spans="40:78">
      <c r="AN158">
        <v>141484018</v>
      </c>
      <c r="AO158" t="str">
        <f>_xll.RssFOPMarket(141484018,"銘柄名称")</f>
        <v>日経225オプション 26-12 C 74000</v>
      </c>
      <c r="AP158">
        <v>1</v>
      </c>
      <c r="AQ158" s="3" t="s">
        <v>15</v>
      </c>
      <c r="AR158" t="s">
        <v>17</v>
      </c>
      <c r="AS158">
        <v>74000</v>
      </c>
      <c r="AU158" t="str">
        <f>$AU$11</f>
        <v>2026/12/10</v>
      </c>
      <c r="AV158">
        <f>_xll.RssFOPMarket(141484018,"最良売気配値1")</f>
        <v>690</v>
      </c>
      <c r="AW158">
        <f>_xll.RssFOPMarket(141484018,"最良売気配数量1")</f>
        <v>2</v>
      </c>
      <c r="AX158">
        <f>_xll.RssFOPMarket(141484018,"最良買気配値1")</f>
        <v>675</v>
      </c>
      <c r="AY158">
        <f>_xll.RssFOPMarket(141484018,"最良買気配数量1")</f>
        <v>8</v>
      </c>
      <c r="AZ158">
        <f>_xll.RssFOPMarket(141484018,"現在値")</f>
        <v>0</v>
      </c>
      <c r="BA158">
        <f>_xll.RssFOPMarket(141484018,"出来高")</f>
        <v>0</v>
      </c>
      <c r="BB158">
        <f>_xll.RssFOPMarket(141484018,"売買代金")</f>
        <v>0</v>
      </c>
      <c r="BC158">
        <f>_xll.RssFOPMarket(141484018,"始値")</f>
        <v>0</v>
      </c>
      <c r="BD158">
        <f>_xll.RssFOPMarket(141484018,"高値")</f>
        <v>0</v>
      </c>
      <c r="BE158">
        <f>_xll.RssFOPMarket(141484018,"安値")</f>
        <v>0</v>
      </c>
      <c r="BF158">
        <f>_xll.RssFOPMarket(141484018,"前日終値")</f>
        <v>690</v>
      </c>
      <c r="BK158" s="3"/>
    </row>
    <row r="159" spans="40:78">
      <c r="AN159">
        <v>141484518</v>
      </c>
      <c r="AO159" t="str">
        <f>_xll.RssFOPMarket(141484518,"銘柄名称")</f>
        <v>日経225オプション 26-12 C 74500</v>
      </c>
      <c r="AP159">
        <v>1</v>
      </c>
      <c r="AQ159" s="3" t="s">
        <v>15</v>
      </c>
      <c r="AR159" t="s">
        <v>17</v>
      </c>
      <c r="AS159">
        <v>74500</v>
      </c>
      <c r="AU159" t="str">
        <f>$AU$11</f>
        <v>2026/12/10</v>
      </c>
      <c r="AV159">
        <f>_xll.RssFOPMarket(141484518,"最良売気配値1")</f>
        <v>610</v>
      </c>
      <c r="AW159">
        <f>_xll.RssFOPMarket(141484518,"最良売気配数量1")</f>
        <v>6</v>
      </c>
      <c r="AX159">
        <f>_xll.RssFOPMarket(141484518,"最良買気配値1")</f>
        <v>590</v>
      </c>
      <c r="AY159">
        <f>_xll.RssFOPMarket(141484518,"最良買気配数量1")</f>
        <v>6</v>
      </c>
      <c r="AZ159">
        <f>_xll.RssFOPMarket(141484518,"現在値")</f>
        <v>0</v>
      </c>
      <c r="BA159">
        <f>_xll.RssFOPMarket(141484518,"出来高")</f>
        <v>0</v>
      </c>
      <c r="BB159">
        <f>_xll.RssFOPMarket(141484518,"売買代金")</f>
        <v>0</v>
      </c>
      <c r="BC159">
        <f>_xll.RssFOPMarket(141484518,"始値")</f>
        <v>0</v>
      </c>
      <c r="BD159">
        <f>_xll.RssFOPMarket(141484518,"高値")</f>
        <v>0</v>
      </c>
      <c r="BE159">
        <f>_xll.RssFOPMarket(141484518,"安値")</f>
        <v>0</v>
      </c>
      <c r="BF159">
        <f>_xll.RssFOPMarket(141484518,"前日終値")</f>
        <v>915</v>
      </c>
      <c r="BK159" s="3"/>
    </row>
    <row r="160" spans="40:78">
      <c r="AN160">
        <v>141485018</v>
      </c>
      <c r="AO160" t="str">
        <f>_xll.RssFOPMarket(141485018,"銘柄名称")</f>
        <v>日経225オプション 26-12 C 75000</v>
      </c>
      <c r="AP160">
        <v>1</v>
      </c>
      <c r="AQ160" s="3" t="s">
        <v>15</v>
      </c>
      <c r="AR160" t="s">
        <v>17</v>
      </c>
      <c r="AS160">
        <v>75000</v>
      </c>
      <c r="AU160" t="str">
        <f>$AU$11</f>
        <v>2026/12/10</v>
      </c>
      <c r="AV160">
        <f>_xll.RssFOPMarket(141485018,"最良売気配値1")</f>
        <v>530</v>
      </c>
      <c r="AW160">
        <f>_xll.RssFOPMarket(141485018,"最良売気配数量1")</f>
        <v>2</v>
      </c>
      <c r="AX160">
        <f>_xll.RssFOPMarket(141485018,"最良買気配値1")</f>
        <v>515</v>
      </c>
      <c r="AY160">
        <f>_xll.RssFOPMarket(141485018,"最良買気配数量1")</f>
        <v>8</v>
      </c>
      <c r="AZ160">
        <f>_xll.RssFOPMarket(141485018,"現在値")</f>
        <v>0</v>
      </c>
      <c r="BA160">
        <f>_xll.RssFOPMarket(141485018,"出来高")</f>
        <v>0</v>
      </c>
      <c r="BB160">
        <f>_xll.RssFOPMarket(141485018,"売買代金")</f>
        <v>0</v>
      </c>
      <c r="BC160">
        <f>_xll.RssFOPMarket(141485018,"始値")</f>
        <v>0</v>
      </c>
      <c r="BD160">
        <f>_xll.RssFOPMarket(141485018,"高値")</f>
        <v>0</v>
      </c>
      <c r="BE160">
        <f>_xll.RssFOPMarket(141485018,"安値")</f>
        <v>0</v>
      </c>
      <c r="BF160">
        <f>_xll.RssFOPMarket(141485018,"前日終値")</f>
        <v>535</v>
      </c>
      <c r="BK160" s="3"/>
    </row>
    <row r="161" spans="40:63">
      <c r="AN161">
        <v>141485518</v>
      </c>
      <c r="AO161" t="str">
        <f>_xll.RssFOPMarket(141485518,"銘柄名称")</f>
        <v>日経225オプション 26-12 C 75500</v>
      </c>
      <c r="AP161">
        <v>1</v>
      </c>
      <c r="AQ161" s="3" t="s">
        <v>15</v>
      </c>
      <c r="AR161" t="s">
        <v>17</v>
      </c>
      <c r="AS161">
        <v>75500</v>
      </c>
      <c r="AU161" t="str">
        <f>$AU$11</f>
        <v>2026/12/10</v>
      </c>
      <c r="AV161">
        <f>_xll.RssFOPMarket(141485518,"最良売気配値1")</f>
        <v>465</v>
      </c>
      <c r="AW161">
        <f>_xll.RssFOPMarket(141485518,"最良売気配数量1")</f>
        <v>2</v>
      </c>
      <c r="AX161">
        <f>_xll.RssFOPMarket(141485518,"最良買気配値1")</f>
        <v>450</v>
      </c>
      <c r="AY161">
        <f>_xll.RssFOPMarket(141485518,"最良買気配数量1")</f>
        <v>6</v>
      </c>
      <c r="AZ161">
        <f>_xll.RssFOPMarket(141485518,"現在値")</f>
        <v>0</v>
      </c>
      <c r="BA161">
        <f>_xll.RssFOPMarket(141485518,"出来高")</f>
        <v>0</v>
      </c>
      <c r="BB161">
        <f>_xll.RssFOPMarket(141485518,"売買代金")</f>
        <v>0</v>
      </c>
      <c r="BC161">
        <f>_xll.RssFOPMarket(141485518,"始値")</f>
        <v>0</v>
      </c>
      <c r="BD161">
        <f>_xll.RssFOPMarket(141485518,"高値")</f>
        <v>0</v>
      </c>
      <c r="BE161">
        <f>_xll.RssFOPMarket(141485518,"安値")</f>
        <v>0</v>
      </c>
      <c r="BF161">
        <f>_xll.RssFOPMarket(141485518,"前日終値")</f>
        <v>950</v>
      </c>
      <c r="BK161" s="3"/>
    </row>
    <row r="162" spans="40:63">
      <c r="AN162">
        <v>141486018</v>
      </c>
      <c r="AO162" t="str">
        <f>_xll.RssFOPMarket(141486018,"銘柄名称")</f>
        <v>日経225オプション 26-12 C 76000</v>
      </c>
      <c r="AP162">
        <v>1</v>
      </c>
      <c r="AQ162" s="3" t="s">
        <v>15</v>
      </c>
      <c r="AR162" t="s">
        <v>17</v>
      </c>
      <c r="AS162">
        <v>76000</v>
      </c>
      <c r="AU162" t="str">
        <f>$AU$11</f>
        <v>2026/12/10</v>
      </c>
      <c r="AV162">
        <f>_xll.RssFOPMarket(141486018,"最良売気配値1")</f>
        <v>400</v>
      </c>
      <c r="AW162">
        <f>_xll.RssFOPMarket(141486018,"最良売気配数量1")</f>
        <v>2</v>
      </c>
      <c r="AX162">
        <f>_xll.RssFOPMarket(141486018,"最良買気配値1")</f>
        <v>390</v>
      </c>
      <c r="AY162">
        <f>_xll.RssFOPMarket(141486018,"最良買気配数量1")</f>
        <v>11</v>
      </c>
      <c r="AZ162">
        <f>_xll.RssFOPMarket(141486018,"現在値")</f>
        <v>0</v>
      </c>
      <c r="BA162">
        <f>_xll.RssFOPMarket(141486018,"出来高")</f>
        <v>0</v>
      </c>
      <c r="BB162">
        <f>_xll.RssFOPMarket(141486018,"売買代金")</f>
        <v>0</v>
      </c>
      <c r="BC162">
        <f>_xll.RssFOPMarket(141486018,"始値")</f>
        <v>0</v>
      </c>
      <c r="BD162">
        <f>_xll.RssFOPMarket(141486018,"高値")</f>
        <v>0</v>
      </c>
      <c r="BE162">
        <f>_xll.RssFOPMarket(141486018,"安値")</f>
        <v>0</v>
      </c>
      <c r="BF162">
        <f>_xll.RssFOPMarket(141486018,"前日終値")</f>
        <v>415</v>
      </c>
      <c r="BK162" s="3"/>
    </row>
    <row r="163" spans="40:63">
      <c r="AQ163" s="3"/>
      <c r="BK163" s="3"/>
    </row>
    <row r="164" spans="40:63">
      <c r="AN164">
        <v>141487018</v>
      </c>
      <c r="AO164" t="str">
        <f>_xll.RssFOPMarket(141487018,"銘柄名称")</f>
        <v>日経225オプション 26-12 C 77000</v>
      </c>
      <c r="AP164">
        <v>1</v>
      </c>
      <c r="AQ164" s="3" t="s">
        <v>15</v>
      </c>
      <c r="AR164" t="s">
        <v>17</v>
      </c>
      <c r="AS164">
        <v>77000</v>
      </c>
      <c r="AU164" t="str">
        <f>$AU$11</f>
        <v>2026/12/10</v>
      </c>
      <c r="AV164">
        <f>_xll.RssFOPMarket(141487018,"最良売気配値1")</f>
        <v>305</v>
      </c>
      <c r="AW164">
        <f>_xll.RssFOPMarket(141487018,"最良売気配数量1")</f>
        <v>11</v>
      </c>
      <c r="AX164">
        <f>_xll.RssFOPMarket(141487018,"最良買気配値1")</f>
        <v>293</v>
      </c>
      <c r="AY164">
        <f>_xll.RssFOPMarket(141487018,"最良買気配数量1")</f>
        <v>2</v>
      </c>
      <c r="AZ164">
        <f>_xll.RssFOPMarket(141487018,"現在値")</f>
        <v>290</v>
      </c>
      <c r="BA164">
        <f>_xll.RssFOPMarket(141487018,"出来高")</f>
        <v>1</v>
      </c>
      <c r="BB164">
        <f>_xll.RssFOPMarket(141487018,"売買代金")</f>
        <v>290</v>
      </c>
      <c r="BC164">
        <f>_xll.RssFOPMarket(141487018,"始値")</f>
        <v>290</v>
      </c>
      <c r="BD164">
        <f>_xll.RssFOPMarket(141487018,"高値")</f>
        <v>290</v>
      </c>
      <c r="BE164">
        <f>_xll.RssFOPMarket(141487018,"安値")</f>
        <v>290</v>
      </c>
      <c r="BF164">
        <f>_xll.RssFOPMarket(141487018,"前日終値")</f>
        <v>293</v>
      </c>
      <c r="BK164" s="3"/>
    </row>
    <row r="165" spans="40:63">
      <c r="AN165">
        <v>191367518</v>
      </c>
      <c r="AO165" t="str">
        <f>_xll.RssFOPMarket(191367518,"銘柄名称")</f>
        <v>日経225オプション 26-12 C 77500</v>
      </c>
      <c r="AP165">
        <v>1</v>
      </c>
      <c r="AQ165" s="3" t="s">
        <v>15</v>
      </c>
      <c r="AR165" t="s">
        <v>17</v>
      </c>
      <c r="AS165">
        <v>77500</v>
      </c>
      <c r="AU165" t="str">
        <f>$AU$11</f>
        <v>2026/12/10</v>
      </c>
      <c r="AV165">
        <f>_xll.RssFOPMarket(191367518,"最良売気配値1")</f>
        <v>267</v>
      </c>
      <c r="AW165">
        <f>_xll.RssFOPMarket(191367518,"最良売気配数量1")</f>
        <v>10</v>
      </c>
      <c r="AX165">
        <f>_xll.RssFOPMarket(191367518,"最良買気配値1")</f>
        <v>252</v>
      </c>
      <c r="AY165">
        <f>_xll.RssFOPMarket(191367518,"最良買気配数量1")</f>
        <v>8</v>
      </c>
      <c r="AZ165">
        <f>_xll.RssFOPMarket(191367518,"現在値")</f>
        <v>0</v>
      </c>
      <c r="BA165">
        <f>_xll.RssFOPMarket(191367518,"出来高")</f>
        <v>0</v>
      </c>
      <c r="BB165">
        <f>_xll.RssFOPMarket(191367518,"売買代金")</f>
        <v>0</v>
      </c>
      <c r="BC165">
        <f>_xll.RssFOPMarket(191367518,"始値")</f>
        <v>0</v>
      </c>
      <c r="BD165">
        <f>_xll.RssFOPMarket(191367518,"高値")</f>
        <v>0</v>
      </c>
      <c r="BE165">
        <f>_xll.RssFOPMarket(191367518,"安値")</f>
        <v>0</v>
      </c>
      <c r="BF165">
        <f>_xll.RssFOPMarket(191367518,"前日終値")</f>
        <v>282</v>
      </c>
      <c r="BK165" s="3"/>
    </row>
    <row r="166" spans="40:63">
      <c r="AN166">
        <v>141488018</v>
      </c>
      <c r="AO166" t="str">
        <f>_xll.RssFOPMarket(141488018,"銘柄名称")</f>
        <v>日経225オプション 26-12 C 78000</v>
      </c>
      <c r="AP166">
        <v>1</v>
      </c>
      <c r="AQ166" s="3" t="s">
        <v>15</v>
      </c>
      <c r="AR166" t="s">
        <v>17</v>
      </c>
      <c r="AS166">
        <v>78000</v>
      </c>
      <c r="AU166" t="str">
        <f>$AU$11</f>
        <v>2026/12/10</v>
      </c>
      <c r="AV166">
        <f>_xll.RssFOPMarket(141488018,"最良売気配値1")</f>
        <v>230</v>
      </c>
      <c r="AW166">
        <f>_xll.RssFOPMarket(141488018,"最良売気配数量1")</f>
        <v>12</v>
      </c>
      <c r="AX166">
        <f>_xll.RssFOPMarket(141488018,"最良買気配値1")</f>
        <v>217</v>
      </c>
      <c r="AY166">
        <f>_xll.RssFOPMarket(141488018,"最良買気配数量1")</f>
        <v>11</v>
      </c>
      <c r="AZ166">
        <f>_xll.RssFOPMarket(141488018,"現在値")</f>
        <v>0</v>
      </c>
      <c r="BA166">
        <f>_xll.RssFOPMarket(141488018,"出来高")</f>
        <v>0</v>
      </c>
      <c r="BB166">
        <f>_xll.RssFOPMarket(141488018,"売買代金")</f>
        <v>0</v>
      </c>
      <c r="BC166">
        <f>_xll.RssFOPMarket(141488018,"始値")</f>
        <v>0</v>
      </c>
      <c r="BD166">
        <f>_xll.RssFOPMarket(141488018,"高値")</f>
        <v>0</v>
      </c>
      <c r="BE166">
        <f>_xll.RssFOPMarket(141488018,"安値")</f>
        <v>0</v>
      </c>
      <c r="BF166">
        <f>_xll.RssFOPMarket(141488018,"前日終値")</f>
        <v>252</v>
      </c>
      <c r="BK166" s="3"/>
    </row>
    <row r="167" spans="40:63">
      <c r="AQ167" s="3"/>
      <c r="BK167" s="3"/>
    </row>
    <row r="168" spans="40:63">
      <c r="AN168">
        <v>141489018</v>
      </c>
      <c r="AO168" t="str">
        <f>_xll.RssFOPMarket(141489018,"銘柄名称")</f>
        <v>日経225オプション 26-12 C 79000</v>
      </c>
      <c r="AP168">
        <v>1</v>
      </c>
      <c r="AQ168" s="3" t="s">
        <v>15</v>
      </c>
      <c r="AR168" t="s">
        <v>17</v>
      </c>
      <c r="AS168">
        <v>79000</v>
      </c>
      <c r="AU168" t="str">
        <f>$AU$11</f>
        <v>2026/12/10</v>
      </c>
      <c r="AV168">
        <f>_xll.RssFOPMarket(141489018,"最良売気配値1")</f>
        <v>171</v>
      </c>
      <c r="AW168">
        <f>_xll.RssFOPMarket(141489018,"最良売気配数量1")</f>
        <v>13</v>
      </c>
      <c r="AX168">
        <f>_xll.RssFOPMarket(141489018,"最良買気配値1")</f>
        <v>160</v>
      </c>
      <c r="AY168">
        <f>_xll.RssFOPMarket(141489018,"最良買気配数量1")</f>
        <v>11</v>
      </c>
      <c r="AZ168">
        <f>_xll.RssFOPMarket(141489018,"現在値")</f>
        <v>0</v>
      </c>
      <c r="BA168">
        <f>_xll.RssFOPMarket(141489018,"出来高")</f>
        <v>0</v>
      </c>
      <c r="BB168">
        <f>_xll.RssFOPMarket(141489018,"売買代金")</f>
        <v>0</v>
      </c>
      <c r="BC168">
        <f>_xll.RssFOPMarket(141489018,"始値")</f>
        <v>0</v>
      </c>
      <c r="BD168">
        <f>_xll.RssFOPMarket(141489018,"高値")</f>
        <v>0</v>
      </c>
      <c r="BE168">
        <f>_xll.RssFOPMarket(141489018,"安値")</f>
        <v>0</v>
      </c>
      <c r="BF168">
        <f>_xll.RssFOPMarket(141489018,"前日終値")</f>
        <v>177</v>
      </c>
      <c r="BK168" s="3"/>
    </row>
    <row r="169" spans="40:63">
      <c r="AQ169" s="3"/>
      <c r="BK169" s="3"/>
    </row>
    <row r="170" spans="40:63">
      <c r="AN170">
        <v>141480018</v>
      </c>
      <c r="AO170" t="str">
        <f>_xll.RssFOPMarket(141480018,"銘柄名称")</f>
        <v>日経225オプション 26-12 C 80000</v>
      </c>
      <c r="AP170">
        <v>1</v>
      </c>
      <c r="AQ170" s="3" t="s">
        <v>15</v>
      </c>
      <c r="AR170" t="s">
        <v>17</v>
      </c>
      <c r="AS170">
        <v>80000</v>
      </c>
      <c r="AU170" t="str">
        <f>$AU$11</f>
        <v>2026/12/10</v>
      </c>
      <c r="AV170">
        <f>_xll.RssFOPMarket(141480018,"最良売気配値1")</f>
        <v>125</v>
      </c>
      <c r="AW170">
        <f>_xll.RssFOPMarket(141480018,"最良売気配数量1")</f>
        <v>5</v>
      </c>
      <c r="AX170">
        <f>_xll.RssFOPMarket(141480018,"最良買気配値1")</f>
        <v>118</v>
      </c>
      <c r="AY170">
        <f>_xll.RssFOPMarket(141480018,"最良買気配数量1")</f>
        <v>14</v>
      </c>
      <c r="AZ170">
        <f>_xll.RssFOPMarket(141480018,"現在値")</f>
        <v>122</v>
      </c>
      <c r="BA170">
        <f>_xll.RssFOPMarket(141480018,"出来高")</f>
        <v>5</v>
      </c>
      <c r="BB170">
        <f>_xll.RssFOPMarket(141480018,"売買代金")</f>
        <v>624</v>
      </c>
      <c r="BC170">
        <f>_xll.RssFOPMarket(141480018,"始値")</f>
        <v>128</v>
      </c>
      <c r="BD170">
        <f>_xll.RssFOPMarket(141480018,"高値")</f>
        <v>128</v>
      </c>
      <c r="BE170">
        <f>_xll.RssFOPMarket(141480018,"安値")</f>
        <v>121</v>
      </c>
      <c r="BF170">
        <f>_xll.RssFOPMarket(141480018,"前日終値")</f>
        <v>120</v>
      </c>
      <c r="BK170" s="3"/>
    </row>
    <row r="171" spans="40:63">
      <c r="AQ171" s="3"/>
      <c r="BK171" s="3"/>
    </row>
    <row r="172" spans="40:63">
      <c r="AN172">
        <v>141481018</v>
      </c>
      <c r="AO172" t="str">
        <f>_xll.RssFOPMarket(141481018,"銘柄名称")</f>
        <v>日経225オプション 26-12 C 81000</v>
      </c>
      <c r="AP172">
        <v>1</v>
      </c>
      <c r="AQ172" s="3" t="s">
        <v>15</v>
      </c>
      <c r="AR172" t="s">
        <v>17</v>
      </c>
      <c r="AS172">
        <v>81000</v>
      </c>
      <c r="AU172" t="str">
        <f>$AU$11</f>
        <v>2026/12/10</v>
      </c>
      <c r="AV172">
        <f>_xll.RssFOPMarket(141481018,"最良売気配値1")</f>
        <v>92</v>
      </c>
      <c r="AW172">
        <f>_xll.RssFOPMarket(141481018,"最良売気配数量1")</f>
        <v>18</v>
      </c>
      <c r="AX172">
        <f>_xll.RssFOPMarket(141481018,"最良買気配値1")</f>
        <v>84</v>
      </c>
      <c r="AY172">
        <f>_xll.RssFOPMarket(141481018,"最良買気配数量1")</f>
        <v>1</v>
      </c>
      <c r="AZ172">
        <f>_xll.RssFOPMarket(141481018,"現在値")</f>
        <v>0</v>
      </c>
      <c r="BA172">
        <f>_xll.RssFOPMarket(141481018,"出来高")</f>
        <v>0</v>
      </c>
      <c r="BB172">
        <f>_xll.RssFOPMarket(141481018,"売買代金")</f>
        <v>0</v>
      </c>
      <c r="BC172">
        <f>_xll.RssFOPMarket(141481018,"始値")</f>
        <v>0</v>
      </c>
      <c r="BD172">
        <f>_xll.RssFOPMarket(141481018,"高値")</f>
        <v>0</v>
      </c>
      <c r="BE172">
        <f>_xll.RssFOPMarket(141481018,"安値")</f>
        <v>0</v>
      </c>
      <c r="BF172">
        <f>_xll.RssFOPMarket(141481018,"前日終値")</f>
        <v>93</v>
      </c>
      <c r="BK172" s="3"/>
    </row>
    <row r="173" spans="40:63">
      <c r="AQ173" s="3"/>
      <c r="BK173" s="3"/>
    </row>
    <row r="174" spans="40:63">
      <c r="AN174">
        <v>141482018</v>
      </c>
      <c r="AO174" t="str">
        <f>_xll.RssFOPMarket(141482018,"銘柄名称")</f>
        <v>日経225オプション 26-12 C 82000</v>
      </c>
      <c r="AP174">
        <v>1</v>
      </c>
      <c r="AQ174" s="3" t="s">
        <v>15</v>
      </c>
      <c r="AR174" t="s">
        <v>17</v>
      </c>
      <c r="AS174">
        <v>82000</v>
      </c>
      <c r="AU174" t="str">
        <f>$AU$11</f>
        <v>2026/12/10</v>
      </c>
      <c r="AV174">
        <f>_xll.RssFOPMarket(141482018,"最良売気配値1")</f>
        <v>70</v>
      </c>
      <c r="AW174">
        <f>_xll.RssFOPMarket(141482018,"最良売気配数量1")</f>
        <v>1</v>
      </c>
      <c r="AX174">
        <f>_xll.RssFOPMarket(141482018,"最良買気配値1")</f>
        <v>58</v>
      </c>
      <c r="AY174">
        <f>_xll.RssFOPMarket(141482018,"最良買気配数量1")</f>
        <v>1</v>
      </c>
      <c r="AZ174">
        <f>_xll.RssFOPMarket(141482018,"現在値")</f>
        <v>0</v>
      </c>
      <c r="BA174">
        <f>_xll.RssFOPMarket(141482018,"出来高")</f>
        <v>0</v>
      </c>
      <c r="BB174">
        <f>_xll.RssFOPMarket(141482018,"売買代金")</f>
        <v>0</v>
      </c>
      <c r="BC174">
        <f>_xll.RssFOPMarket(141482018,"始値")</f>
        <v>0</v>
      </c>
      <c r="BD174">
        <f>_xll.RssFOPMarket(141482018,"高値")</f>
        <v>0</v>
      </c>
      <c r="BE174">
        <f>_xll.RssFOPMarket(141482018,"安値")</f>
        <v>0</v>
      </c>
      <c r="BF174">
        <f>_xll.RssFOPMarket(141482018,"前日終値")</f>
        <v>69</v>
      </c>
      <c r="BK174" s="3"/>
    </row>
    <row r="175" spans="40:63">
      <c r="AN175">
        <v>191482518</v>
      </c>
      <c r="AO175" t="str">
        <f>_xll.RssFOPMarket(191482518,"銘柄名称")</f>
        <v>日経225オプション 26-12 C 82500</v>
      </c>
      <c r="AP175">
        <v>1</v>
      </c>
      <c r="AQ175" s="3" t="s">
        <v>15</v>
      </c>
      <c r="AR175" t="s">
        <v>17</v>
      </c>
      <c r="AS175">
        <v>82500</v>
      </c>
      <c r="AU175" t="str">
        <f>$AU$11</f>
        <v>2026/12/10</v>
      </c>
      <c r="AV175">
        <f>_xll.RssFOPMarket(191482518,"最良売気配値1")</f>
        <v>60</v>
      </c>
      <c r="AW175">
        <f>_xll.RssFOPMarket(191482518,"最良売気配数量1")</f>
        <v>1</v>
      </c>
      <c r="AX175">
        <f>_xll.RssFOPMarket(191482518,"最良買気配値1")</f>
        <v>49</v>
      </c>
      <c r="AY175">
        <f>_xll.RssFOPMarket(191482518,"最良買気配数量1")</f>
        <v>1</v>
      </c>
      <c r="AZ175">
        <f>_xll.RssFOPMarket(191482518,"現在値")</f>
        <v>0</v>
      </c>
      <c r="BA175">
        <f>_xll.RssFOPMarket(191482518,"出来高")</f>
        <v>0</v>
      </c>
      <c r="BB175">
        <f>_xll.RssFOPMarket(191482518,"売買代金")</f>
        <v>0</v>
      </c>
      <c r="BC175">
        <f>_xll.RssFOPMarket(191482518,"始値")</f>
        <v>0</v>
      </c>
      <c r="BD175">
        <f>_xll.RssFOPMarket(191482518,"高値")</f>
        <v>0</v>
      </c>
      <c r="BE175">
        <f>_xll.RssFOPMarket(191482518,"安値")</f>
        <v>0</v>
      </c>
      <c r="BF175">
        <f>_xll.RssFOPMarket(191482518,"前日終値")</f>
        <v>61</v>
      </c>
      <c r="BK175" s="3"/>
    </row>
    <row r="176" spans="40:63">
      <c r="AN176">
        <v>191483018</v>
      </c>
      <c r="AO176" t="str">
        <f>_xll.RssFOPMarket(191483018,"銘柄名称")</f>
        <v>日経225オプション 26-12 C 83000</v>
      </c>
      <c r="AP176">
        <v>1</v>
      </c>
      <c r="AQ176" s="3" t="s">
        <v>15</v>
      </c>
      <c r="AR176" t="s">
        <v>17</v>
      </c>
      <c r="AS176">
        <v>83000</v>
      </c>
      <c r="AU176" t="str">
        <f>$AU$11</f>
        <v>2026/12/10</v>
      </c>
      <c r="AV176">
        <f>_xll.RssFOPMarket(191483018,"最良売気配値1")</f>
        <v>51</v>
      </c>
      <c r="AW176">
        <f>_xll.RssFOPMarket(191483018,"最良売気配数量1")</f>
        <v>1</v>
      </c>
      <c r="AX176">
        <f>_xll.RssFOPMarket(191483018,"最良買気配値1")</f>
        <v>41</v>
      </c>
      <c r="AY176">
        <f>_xll.RssFOPMarket(191483018,"最良買気配数量1")</f>
        <v>1</v>
      </c>
      <c r="AZ176">
        <f>_xll.RssFOPMarket(191483018,"現在値")</f>
        <v>47</v>
      </c>
      <c r="BA176">
        <f>_xll.RssFOPMarket(191483018,"出来高")</f>
        <v>1</v>
      </c>
      <c r="BB176">
        <f>_xll.RssFOPMarket(191483018,"売買代金")</f>
        <v>47</v>
      </c>
      <c r="BC176">
        <f>_xll.RssFOPMarket(191483018,"始値")</f>
        <v>47</v>
      </c>
      <c r="BD176">
        <f>_xll.RssFOPMarket(191483018,"高値")</f>
        <v>47</v>
      </c>
      <c r="BE176">
        <f>_xll.RssFOPMarket(191483018,"安値")</f>
        <v>47</v>
      </c>
      <c r="BF176">
        <f>_xll.RssFOPMarket(191483018,"前日終値")</f>
        <v>50</v>
      </c>
      <c r="BK176" s="3"/>
    </row>
    <row r="177" spans="40:63">
      <c r="AQ177" s="3"/>
      <c r="BK177" s="3"/>
    </row>
    <row r="178" spans="40:63">
      <c r="AN178">
        <v>191484018</v>
      </c>
      <c r="AO178" t="str">
        <f>_xll.RssFOPMarket(191484018,"銘柄名称")</f>
        <v>日経225オプション 26-12 C 84000</v>
      </c>
      <c r="AP178">
        <v>1</v>
      </c>
      <c r="AQ178" s="3" t="s">
        <v>15</v>
      </c>
      <c r="AR178" t="s">
        <v>17</v>
      </c>
      <c r="AS178">
        <v>84000</v>
      </c>
      <c r="AU178" t="str">
        <f>$AU$11</f>
        <v>2026/12/10</v>
      </c>
      <c r="AV178">
        <f>_xll.RssFOPMarket(191484018,"最良売気配値1")</f>
        <v>43</v>
      </c>
      <c r="AW178">
        <f>_xll.RssFOPMarket(191484018,"最良売気配数量1")</f>
        <v>63</v>
      </c>
      <c r="AX178">
        <f>_xll.RssFOPMarket(191484018,"最良買気配値1")</f>
        <v>25</v>
      </c>
      <c r="AY178">
        <f>_xll.RssFOPMarket(191484018,"最良買気配数量1")</f>
        <v>27</v>
      </c>
      <c r="AZ178">
        <f>_xll.RssFOPMarket(191484018,"現在値")</f>
        <v>0</v>
      </c>
      <c r="BA178">
        <f>_xll.RssFOPMarket(191484018,"出来高")</f>
        <v>0</v>
      </c>
      <c r="BB178">
        <f>_xll.RssFOPMarket(191484018,"売買代金")</f>
        <v>0</v>
      </c>
      <c r="BC178">
        <f>_xll.RssFOPMarket(191484018,"始値")</f>
        <v>0</v>
      </c>
      <c r="BD178">
        <f>_xll.RssFOPMarket(191484018,"高値")</f>
        <v>0</v>
      </c>
      <c r="BE178">
        <f>_xll.RssFOPMarket(191484018,"安値")</f>
        <v>0</v>
      </c>
      <c r="BF178">
        <f>_xll.RssFOPMarket(191484018,"前日終値")</f>
        <v>42</v>
      </c>
      <c r="BK178" s="3"/>
    </row>
    <row r="179" spans="40:63">
      <c r="AQ179" s="3"/>
      <c r="BK179" s="3"/>
    </row>
    <row r="180" spans="40:63">
      <c r="AN180">
        <v>191485018</v>
      </c>
      <c r="AO180" t="str">
        <f>_xll.RssFOPMarket(191485018,"銘柄名称")</f>
        <v>日経225オプション 26-12 C 85000</v>
      </c>
      <c r="AP180">
        <v>1</v>
      </c>
      <c r="AQ180" s="3" t="s">
        <v>15</v>
      </c>
      <c r="AR180" t="s">
        <v>17</v>
      </c>
      <c r="AS180">
        <v>85000</v>
      </c>
      <c r="AU180" t="str">
        <f>$AU$11</f>
        <v>2026/12/10</v>
      </c>
      <c r="AV180">
        <f>_xll.RssFOPMarket(191485018,"最良売気配値1")</f>
        <v>31</v>
      </c>
      <c r="AW180">
        <f>_xll.RssFOPMarket(191485018,"最良売気配数量1")</f>
        <v>24</v>
      </c>
      <c r="AX180">
        <f>_xll.RssFOPMarket(191485018,"最良買気配値1")</f>
        <v>14</v>
      </c>
      <c r="AY180">
        <f>_xll.RssFOPMarket(191485018,"最良買気配数量1")</f>
        <v>40</v>
      </c>
      <c r="AZ180">
        <f>_xll.RssFOPMarket(191485018,"現在値")</f>
        <v>24</v>
      </c>
      <c r="BA180">
        <f>_xll.RssFOPMarket(191485018,"出来高")</f>
        <v>1</v>
      </c>
      <c r="BB180">
        <f>_xll.RssFOPMarket(191485018,"売買代金")</f>
        <v>24</v>
      </c>
      <c r="BC180">
        <f>_xll.RssFOPMarket(191485018,"始値")</f>
        <v>24</v>
      </c>
      <c r="BD180">
        <f>_xll.RssFOPMarket(191485018,"高値")</f>
        <v>24</v>
      </c>
      <c r="BE180">
        <f>_xll.RssFOPMarket(191485018,"安値")</f>
        <v>24</v>
      </c>
      <c r="BF180">
        <f>_xll.RssFOPMarket(191485018,"前日終値")</f>
        <v>25</v>
      </c>
      <c r="BK180" s="3"/>
    </row>
    <row r="181" spans="40:63">
      <c r="AQ181" s="3"/>
      <c r="BK181" s="3"/>
    </row>
    <row r="182" spans="40:63">
      <c r="AQ182" s="3"/>
      <c r="BK182" s="3"/>
    </row>
    <row r="183" spans="40:63">
      <c r="AQ183" s="3"/>
      <c r="BK183" s="3"/>
    </row>
    <row r="184" spans="40:63">
      <c r="AQ184" s="3"/>
      <c r="BK184" s="3"/>
    </row>
    <row r="185" spans="40:63">
      <c r="AN185">
        <v>191487518</v>
      </c>
      <c r="AO185" t="str">
        <f>_xll.RssFOPMarket(191487518,"銘柄名称")</f>
        <v>日経225オプション 26-12 C 87500</v>
      </c>
      <c r="AP185">
        <v>1</v>
      </c>
      <c r="AQ185" s="3" t="s">
        <v>15</v>
      </c>
      <c r="AR185" t="s">
        <v>17</v>
      </c>
      <c r="AS185">
        <v>87500</v>
      </c>
      <c r="AU185" t="str">
        <f>$AU$11</f>
        <v>2026/12/10</v>
      </c>
      <c r="AV185">
        <f>_xll.RssFOPMarket(191487518,"最良売気配値1")</f>
        <v>40</v>
      </c>
      <c r="AW185">
        <f>_xll.RssFOPMarket(191487518,"最良売気配数量1")</f>
        <v>7</v>
      </c>
      <c r="AX185">
        <f>_xll.RssFOPMarket(191487518,"最良買気配値1")</f>
        <v>10</v>
      </c>
      <c r="AY185">
        <f>_xll.RssFOPMarket(191487518,"最良買気配数量1")</f>
        <v>2</v>
      </c>
      <c r="AZ185">
        <f>_xll.RssFOPMarket(191487518,"現在値")</f>
        <v>0</v>
      </c>
      <c r="BA185">
        <f>_xll.RssFOPMarket(191487518,"出来高")</f>
        <v>0</v>
      </c>
      <c r="BB185">
        <f>_xll.RssFOPMarket(191487518,"売買代金")</f>
        <v>0</v>
      </c>
      <c r="BC185">
        <f>_xll.RssFOPMarket(191487518,"始値")</f>
        <v>0</v>
      </c>
      <c r="BD185">
        <f>_xll.RssFOPMarket(191487518,"高値")</f>
        <v>0</v>
      </c>
      <c r="BE185">
        <f>_xll.RssFOPMarket(191487518,"安値")</f>
        <v>0</v>
      </c>
      <c r="BF185">
        <f>_xll.RssFOPMarket(191487518,"前日終値")</f>
        <v>15</v>
      </c>
      <c r="BK185" s="3"/>
    </row>
    <row r="186" spans="40:63">
      <c r="AQ186" s="3"/>
      <c r="BK186" s="3"/>
    </row>
    <row r="187" spans="40:63">
      <c r="AQ187" s="3"/>
      <c r="BK187" s="3"/>
    </row>
    <row r="188" spans="40:63">
      <c r="AQ188" s="3"/>
      <c r="BK188" s="3"/>
    </row>
    <row r="189" spans="40:63">
      <c r="AQ189" s="3"/>
      <c r="BK189" s="3"/>
    </row>
    <row r="190" spans="40:63">
      <c r="AN190">
        <v>191480018</v>
      </c>
      <c r="AO190" t="str">
        <f>_xll.RssFOPMarket(191480018,"銘柄名称")</f>
        <v>日経225オプション 26-12 C 90000</v>
      </c>
      <c r="AP190">
        <v>1</v>
      </c>
      <c r="AQ190" s="3" t="s">
        <v>15</v>
      </c>
      <c r="AR190" t="s">
        <v>17</v>
      </c>
      <c r="AS190">
        <v>90000</v>
      </c>
      <c r="AU190" t="str">
        <f>$AU$11</f>
        <v>2026/12/10</v>
      </c>
      <c r="AV190">
        <f>_xll.RssFOPMarket(191480018,"最良売気配値1")</f>
        <v>5</v>
      </c>
      <c r="AW190">
        <f>_xll.RssFOPMarket(191480018,"最良売気配数量1")</f>
        <v>10</v>
      </c>
      <c r="AX190">
        <f>_xll.RssFOPMarket(191480018,"最良買気配値1")</f>
        <v>3</v>
      </c>
      <c r="AY190">
        <f>_xll.RssFOPMarket(191480018,"最良買気配数量1")</f>
        <v>48</v>
      </c>
      <c r="AZ190">
        <f>_xll.RssFOPMarket(191480018,"現在値")</f>
        <v>4</v>
      </c>
      <c r="BA190">
        <f>_xll.RssFOPMarket(191480018,"出来高")</f>
        <v>3</v>
      </c>
      <c r="BB190">
        <f>_xll.RssFOPMarket(191480018,"売買代金")</f>
        <v>15</v>
      </c>
      <c r="BC190">
        <f>_xll.RssFOPMarket(191480018,"始値")</f>
        <v>6</v>
      </c>
      <c r="BD190">
        <f>_xll.RssFOPMarket(191480018,"高値")</f>
        <v>6</v>
      </c>
      <c r="BE190">
        <f>_xll.RssFOPMarket(191480018,"安値")</f>
        <v>4</v>
      </c>
      <c r="BF190">
        <f>_xll.RssFOPMarket(191480018,"前日終値")</f>
        <v>6</v>
      </c>
      <c r="BK190" s="3"/>
    </row>
    <row r="191" spans="40:63">
      <c r="AQ191" s="3"/>
      <c r="BK191" s="3"/>
    </row>
    <row r="192" spans="40:63">
      <c r="AQ192" s="3"/>
      <c r="BK192" s="3"/>
    </row>
    <row r="193" spans="43:63">
      <c r="AQ193" s="3"/>
      <c r="BK193" s="3"/>
    </row>
    <row r="194" spans="43:63">
      <c r="AQ194" s="3"/>
      <c r="BK194" s="3"/>
    </row>
    <row r="195" spans="43:63">
      <c r="AQ195" s="3"/>
      <c r="BK195" s="3"/>
    </row>
    <row r="196" spans="43:63">
      <c r="AQ196" s="3"/>
      <c r="BK196" s="3"/>
    </row>
    <row r="197" spans="43:63">
      <c r="AQ197" s="3"/>
      <c r="BK197" s="3"/>
    </row>
    <row r="198" spans="43:63">
      <c r="AQ198" s="3"/>
      <c r="BK198" s="3"/>
    </row>
    <row r="199" spans="43:63">
      <c r="AQ199" s="3"/>
      <c r="BK199" s="3"/>
    </row>
    <row r="200" spans="43:63">
      <c r="AQ200" s="3"/>
      <c r="BK200" s="3"/>
    </row>
    <row r="201" spans="43:63">
      <c r="AQ201" s="3"/>
      <c r="BK201" s="3"/>
    </row>
    <row r="202" spans="43:63">
      <c r="AQ202" s="3"/>
      <c r="BK202" s="3"/>
    </row>
    <row r="203" spans="43:63">
      <c r="AQ203" s="3"/>
      <c r="BK203" s="3"/>
    </row>
    <row r="204" spans="43:63">
      <c r="AQ204" s="3"/>
      <c r="BK204" s="3"/>
    </row>
    <row r="205" spans="43:63">
      <c r="AQ205" s="3"/>
      <c r="BK205" s="3"/>
    </row>
    <row r="206" spans="43:63">
      <c r="AQ206" s="3"/>
      <c r="BK206" s="3"/>
    </row>
    <row r="207" spans="43:63">
      <c r="AQ207" s="3"/>
      <c r="BK207" s="3"/>
    </row>
    <row r="208" spans="43:63">
      <c r="AQ208" s="3"/>
      <c r="BK208" s="3"/>
    </row>
    <row r="209" spans="43:63">
      <c r="AQ209" s="3"/>
      <c r="BK209" s="3"/>
    </row>
    <row r="210" spans="43:63">
      <c r="AQ210" s="3"/>
      <c r="BK210" s="3"/>
    </row>
    <row r="211" spans="43:63">
      <c r="AQ211" s="3"/>
      <c r="BK211" s="3"/>
    </row>
    <row r="212" spans="43:63">
      <c r="AQ212" s="3"/>
      <c r="BK212" s="3"/>
    </row>
    <row r="213" spans="43:63">
      <c r="AQ213" s="3"/>
      <c r="BK213" s="3"/>
    </row>
    <row r="214" spans="43:63">
      <c r="AQ214" s="3"/>
      <c r="BK214" s="3"/>
    </row>
    <row r="215" spans="43:63">
      <c r="AQ215" s="3"/>
      <c r="BK215" s="3"/>
    </row>
    <row r="216" spans="43:63">
      <c r="AQ216" s="3"/>
      <c r="BK216" s="3"/>
    </row>
    <row r="217" spans="43:63">
      <c r="AQ217" s="3"/>
      <c r="BK217" s="3"/>
    </row>
    <row r="218" spans="43:63">
      <c r="AQ218" s="3"/>
      <c r="BK218" s="3"/>
    </row>
    <row r="219" spans="43:63">
      <c r="AQ219" s="3"/>
      <c r="BK219" s="3"/>
    </row>
    <row r="220" spans="43:63">
      <c r="AQ220" s="3"/>
      <c r="BK220" s="3"/>
    </row>
    <row r="221" spans="43:63">
      <c r="AQ221" s="3"/>
      <c r="BK221" s="3"/>
    </row>
    <row r="222" spans="43:63">
      <c r="AQ222" s="3"/>
      <c r="BK222" s="3"/>
    </row>
    <row r="223" spans="43:63">
      <c r="AQ223" s="3"/>
      <c r="BK223" s="3"/>
    </row>
    <row r="224" spans="43:63">
      <c r="AQ224" s="3"/>
      <c r="BK224" s="3"/>
    </row>
    <row r="225" spans="43:63">
      <c r="AQ225" s="3"/>
      <c r="BK225" s="3"/>
    </row>
    <row r="226" spans="43:63">
      <c r="AQ226" s="3"/>
      <c r="BK226" s="3"/>
    </row>
    <row r="227" spans="43:63">
      <c r="AQ227" s="3"/>
      <c r="BK227" s="3"/>
    </row>
    <row r="228" spans="43:63">
      <c r="AQ228" s="3"/>
      <c r="BK228" s="3"/>
    </row>
    <row r="229" spans="43:63">
      <c r="AQ229" s="3"/>
      <c r="BK229" s="3"/>
    </row>
    <row r="230" spans="43:63">
      <c r="AQ230" s="3"/>
      <c r="BK230" s="3"/>
    </row>
    <row r="231" spans="43:63">
      <c r="AQ231" s="3"/>
      <c r="BK231" s="3"/>
    </row>
    <row r="232" spans="43:63">
      <c r="AQ232" s="3"/>
      <c r="BK232" s="3"/>
    </row>
    <row r="233" spans="43:63">
      <c r="AQ233" s="3"/>
      <c r="BK233" s="3"/>
    </row>
    <row r="234" spans="43:63">
      <c r="AQ234" s="3"/>
      <c r="BK234" s="3"/>
    </row>
    <row r="235" spans="43:63">
      <c r="AQ235" s="3"/>
      <c r="BK235" s="3"/>
    </row>
    <row r="236" spans="43:63">
      <c r="AQ236" s="3"/>
      <c r="BK236" s="3"/>
    </row>
    <row r="237" spans="43:63">
      <c r="AQ237" s="3"/>
      <c r="BK237" s="3"/>
    </row>
    <row r="238" spans="43:63">
      <c r="AQ238" s="3"/>
      <c r="BK23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WriteFutureOptionSymbols">
              <controlPr defaultSize="0" print="0" autoFill="0" autoPict="0" macro="WriteFutureOptionSymbols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設定_vnpy_rakuten_rss_option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項錦先</dc:creator>
  <cp:lastModifiedBy>項 錦先</cp:lastModifiedBy>
  <dcterms:created xsi:type="dcterms:W3CDTF">2015-06-05T18:19:34Z</dcterms:created>
  <dcterms:modified xsi:type="dcterms:W3CDTF">2026-10-14T11:29:30Z</dcterms:modified>
</cp:coreProperties>
</file>